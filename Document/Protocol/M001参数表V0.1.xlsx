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设备信息" sheetId="1" state="visible" r:id="rId1"/>
    <sheet xmlns:r="http://schemas.openxmlformats.org/officeDocument/2006/relationships" name="设备配置" sheetId="2" state="visible" r:id="rId2"/>
    <sheet xmlns:r="http://schemas.openxmlformats.org/officeDocument/2006/relationships" name="设备当前预设" sheetId="3" state="visible" r:id="rId3"/>
    <sheet xmlns:r="http://schemas.openxmlformats.org/officeDocument/2006/relationships" name="版本说明" sheetId="4" state="visible" r:id="rId4"/>
    <sheet xmlns:r="http://schemas.openxmlformats.org/officeDocument/2006/relationships" name="公式计算" sheetId="5" state="visible" r:id="rId5"/>
  </sheets>
  <definedNames/>
  <calcPr calcId="171027" fullCalcOnLoad="1"/>
</workbook>
</file>

<file path=xl/styles.xml><?xml version="1.0" encoding="utf-8"?>
<styleSheet xmlns="http://schemas.openxmlformats.org/spreadsheetml/2006/main">
  <numFmts count="2">
    <numFmt numFmtId="164" formatCode="0."/>
    <numFmt numFmtId="165" formatCode="0.0"/>
  </numFmts>
  <fonts count="8">
    <font>
      <name val="Calibri"/>
      <family val="2"/>
      <color theme="1"/>
      <sz val="11"/>
      <scheme val="minor"/>
    </font>
    <font>
      <name val="等线"/>
      <family val="2"/>
      <b val="1"/>
      <sz val="12"/>
    </font>
    <font>
      <name val="等线"/>
      <family val="2"/>
      <b val="1"/>
      <color rgb="FF000000"/>
      <sz val="12"/>
    </font>
    <font>
      <name val="等线"/>
      <family val="2"/>
      <color rgb="FF000000"/>
      <sz val="12"/>
    </font>
    <font>
      <name val="等线"/>
      <family val="2"/>
      <color rgb="FF0000FF"/>
      <sz val="12"/>
    </font>
    <font>
      <name val="等线"/>
      <family val="2"/>
      <b val="1"/>
      <color rgb="FFFFFFFF"/>
      <sz val="12"/>
    </font>
    <font>
      <name val="等线"/>
      <family val="2"/>
      <color rgb="FF7F7F7F"/>
      <sz val="12"/>
    </font>
    <font>
      <name val="等线"/>
      <family val="2"/>
      <sz val="12"/>
    </font>
  </fonts>
  <fills count="18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00B0F0"/>
      </patternFill>
    </fill>
    <fill>
      <patternFill patternType="solid">
        <fgColor rgb="FFED7D31"/>
      </patternFill>
    </fill>
    <fill>
      <patternFill patternType="solid">
        <fgColor rgb="FFF7CAAC"/>
      </patternFill>
    </fill>
    <fill>
      <patternFill patternType="solid">
        <fgColor rgb="FFFBE4D5"/>
      </patternFill>
    </fill>
    <fill>
      <patternFill patternType="solid">
        <fgColor rgb="FFFFC000"/>
      </patternFill>
    </fill>
    <fill>
      <patternFill patternType="solid">
        <fgColor rgb="FFFEE598"/>
      </patternFill>
    </fill>
    <fill>
      <patternFill patternType="solid">
        <fgColor rgb="FFFFF2CB"/>
      </patternFill>
    </fill>
    <fill>
      <patternFill patternType="solid">
        <fgColor rgb="FFF79646"/>
      </patternFill>
    </fill>
    <fill>
      <patternFill patternType="solid">
        <fgColor rgb="FFFCD5B4"/>
      </patternFill>
    </fill>
    <fill>
      <patternFill patternType="solid">
        <fgColor rgb="FF9BBB59"/>
      </patternFill>
    </fill>
    <fill>
      <patternFill patternType="solid">
        <fgColor rgb="FFD8E4BC"/>
      </patternFill>
    </fill>
    <fill>
      <patternFill patternType="solid">
        <fgColor rgb="FFFDE9D9"/>
      </patternFill>
    </fill>
    <fill>
      <patternFill patternType="solid">
        <fgColor rgb="FFECECEC"/>
      </patternFill>
    </fill>
    <fill>
      <patternFill patternType="solid">
        <fgColor rgb="FFFFFF00"/>
      </patternFill>
    </fill>
    <fill>
      <patternFill patternType="solid">
        <fgColor rgb="FF92D050"/>
      </patternFill>
    </fill>
  </fills>
  <borders count="4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FF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FF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FF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FF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595959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00D8D8D8"/>
      </left>
      <right/>
      <top/>
      <bottom/>
      <diagonal/>
    </border>
    <border>
      <left style="thin">
        <color rgb="00D8D8D8"/>
      </left>
      <right style="thin">
        <color rgb="00D8D8D8"/>
      </right>
      <top/>
      <bottom/>
      <diagonal/>
    </border>
    <border>
      <left style="thin">
        <color rgb="00D8D8D8"/>
      </left>
      <right style="thin">
        <color rgb="00D8D8D8"/>
      </right>
      <top/>
      <bottom style="thin">
        <color rgb="00D8D8D8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/>
      <top style="thin">
        <color rgb="00D8D8D8"/>
      </top>
      <bottom style="thin">
        <color rgb="00D8D8D8"/>
      </bottom>
      <diagonal/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164" fontId="3" fillId="2" borderId="4" applyAlignment="1" pivotButton="0" quotePrefix="0" xfId="0">
      <alignment horizontal="left" vertical="center"/>
    </xf>
    <xf numFmtId="164" fontId="4" fillId="2" borderId="4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3" fillId="2" borderId="4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6" applyAlignment="1" pivotButton="0" quotePrefix="0" xfId="0">
      <alignment horizontal="left" vertical="center"/>
    </xf>
    <xf numFmtId="164" fontId="3" fillId="5" borderId="7" applyAlignment="1" pivotButton="0" quotePrefix="0" xfId="0">
      <alignment horizontal="left" vertical="center"/>
    </xf>
    <xf numFmtId="0" fontId="3" fillId="5" borderId="5" applyAlignment="1" pivotButton="0" quotePrefix="0" xfId="0">
      <alignment horizontal="left" vertical="center" wrapText="1"/>
    </xf>
    <xf numFmtId="164" fontId="6" fillId="5" borderId="8" applyAlignment="1" pivotButton="0" quotePrefix="0" xfId="0">
      <alignment horizontal="left" vertical="center"/>
    </xf>
    <xf numFmtId="164" fontId="6" fillId="5" borderId="2" applyAlignment="1" pivotButton="0" quotePrefix="0" xfId="0">
      <alignment horizontal="left" vertical="center"/>
    </xf>
    <xf numFmtId="0" fontId="6" fillId="5" borderId="9" applyAlignment="1" pivotButton="0" quotePrefix="0" xfId="0">
      <alignment horizontal="left" vertical="center" wrapText="1"/>
    </xf>
    <xf numFmtId="0" fontId="3" fillId="5" borderId="10" applyAlignment="1" pivotButton="0" quotePrefix="0" xfId="0">
      <alignment horizontal="left" vertical="center"/>
    </xf>
    <xf numFmtId="0" fontId="3" fillId="5" borderId="11" applyAlignment="1" pivotButton="0" quotePrefix="0" xfId="0">
      <alignment horizontal="left" vertical="center"/>
    </xf>
    <xf numFmtId="164" fontId="3" fillId="5" borderId="12" applyAlignment="1" pivotButton="0" quotePrefix="0" xfId="0">
      <alignment horizontal="left" vertical="center"/>
    </xf>
    <xf numFmtId="0" fontId="3" fillId="6" borderId="5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6" applyAlignment="1" pivotButton="0" quotePrefix="0" xfId="0">
      <alignment horizontal="left" vertical="center"/>
    </xf>
    <xf numFmtId="164" fontId="3" fillId="6" borderId="7" applyAlignment="1" pivotButton="0" quotePrefix="0" xfId="0">
      <alignment horizontal="left" vertical="center"/>
    </xf>
    <xf numFmtId="0" fontId="3" fillId="6" borderId="5" applyAlignment="1" pivotButton="0" quotePrefix="0" xfId="0">
      <alignment horizontal="left" vertical="center" wrapText="1"/>
    </xf>
    <xf numFmtId="164" fontId="6" fillId="6" borderId="8" applyAlignment="1" pivotButton="0" quotePrefix="0" xfId="0">
      <alignment horizontal="left" vertical="center"/>
    </xf>
    <xf numFmtId="164" fontId="6" fillId="6" borderId="2" applyAlignment="1" pivotButton="0" quotePrefix="0" xfId="0">
      <alignment horizontal="left" vertical="center"/>
    </xf>
    <xf numFmtId="0" fontId="6" fillId="6" borderId="9" applyAlignment="1" pivotButton="0" quotePrefix="0" xfId="0">
      <alignment horizontal="left" vertical="center" wrapText="1"/>
    </xf>
    <xf numFmtId="0" fontId="3" fillId="6" borderId="11" applyAlignment="1" pivotButton="0" quotePrefix="0" xfId="0">
      <alignment horizontal="left" vertical="center"/>
    </xf>
    <xf numFmtId="164" fontId="3" fillId="6" borderId="11" applyAlignment="1" pivotButton="0" quotePrefix="0" xfId="0">
      <alignment horizontal="left" vertical="center"/>
    </xf>
    <xf numFmtId="0" fontId="3" fillId="5" borderId="5" applyAlignment="1" pivotButton="0" quotePrefix="0" xfId="0">
      <alignment horizontal="left" vertical="center"/>
    </xf>
    <xf numFmtId="165" fontId="3" fillId="5" borderId="11" applyAlignment="1" pivotButton="0" quotePrefix="0" xfId="0">
      <alignment horizontal="left" vertical="center"/>
    </xf>
    <xf numFmtId="164" fontId="3" fillId="5" borderId="11" applyAlignment="1" pivotButton="0" quotePrefix="0" xfId="0">
      <alignment horizontal="left" vertical="center"/>
    </xf>
    <xf numFmtId="0" fontId="3" fillId="5" borderId="7" applyAlignment="1" pivotButton="0" quotePrefix="0" xfId="0">
      <alignment horizontal="left" vertical="center"/>
    </xf>
    <xf numFmtId="0" fontId="3" fillId="6" borderId="5" applyAlignment="1" pivotButton="0" quotePrefix="0" xfId="0">
      <alignment horizontal="left" vertical="center"/>
    </xf>
    <xf numFmtId="0" fontId="3" fillId="6" borderId="10" applyAlignment="1" pivotButton="0" quotePrefix="0" xfId="0">
      <alignment horizontal="left" vertical="center"/>
    </xf>
    <xf numFmtId="164" fontId="3" fillId="6" borderId="10" applyAlignment="1" pivotButton="0" quotePrefix="0" xfId="0">
      <alignment horizontal="left" vertical="center"/>
    </xf>
    <xf numFmtId="164" fontId="3" fillId="5" borderId="10" applyAlignment="1" pivotButton="0" quotePrefix="0" xfId="0">
      <alignment horizontal="left" vertical="center"/>
    </xf>
    <xf numFmtId="164" fontId="6" fillId="6" borderId="9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/>
    </xf>
    <xf numFmtId="165" fontId="3" fillId="5" borderId="13" applyAlignment="1" pivotButton="0" quotePrefix="0" xfId="0">
      <alignment horizontal="left" vertical="center"/>
    </xf>
    <xf numFmtId="164" fontId="3" fillId="5" borderId="14" applyAlignment="1" pivotButton="0" quotePrefix="0" xfId="0">
      <alignment horizontal="left" vertical="center"/>
    </xf>
    <xf numFmtId="0" fontId="3" fillId="6" borderId="2" applyAlignment="1" pivotButton="0" quotePrefix="0" xfId="0">
      <alignment horizontal="left" vertical="center"/>
    </xf>
    <xf numFmtId="0" fontId="3" fillId="6" borderId="15" applyAlignment="1" pivotButton="0" quotePrefix="0" xfId="0">
      <alignment horizontal="left" vertical="center"/>
    </xf>
    <xf numFmtId="0" fontId="3" fillId="6" borderId="13" applyAlignment="1" pivotButton="0" quotePrefix="0" xfId="0">
      <alignment horizontal="left" vertical="center"/>
    </xf>
    <xf numFmtId="164" fontId="3" fillId="6" borderId="16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top" wrapText="1"/>
    </xf>
    <xf numFmtId="164" fontId="6" fillId="5" borderId="9" applyAlignment="1" pivotButton="0" quotePrefix="0" xfId="0">
      <alignment horizontal="left" vertical="center" wrapText="1"/>
    </xf>
    <xf numFmtId="164" fontId="3" fillId="2" borderId="4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left" vertical="center"/>
    </xf>
    <xf numFmtId="0" fontId="3" fillId="8" borderId="5" applyAlignment="1" pivotButton="0" quotePrefix="0" xfId="0">
      <alignment horizontal="left" vertical="center"/>
    </xf>
    <xf numFmtId="164" fontId="3" fillId="8" borderId="7" applyAlignment="1" pivotButton="0" quotePrefix="0" xfId="0">
      <alignment horizontal="left" vertical="center"/>
    </xf>
    <xf numFmtId="164" fontId="6" fillId="8" borderId="17" applyAlignment="1" pivotButton="0" quotePrefix="0" xfId="0">
      <alignment horizontal="left" vertical="center"/>
    </xf>
    <xf numFmtId="164" fontId="6" fillId="8" borderId="2" applyAlignment="1" pivotButton="0" quotePrefix="0" xfId="0">
      <alignment horizontal="left" vertical="center"/>
    </xf>
    <xf numFmtId="0" fontId="6" fillId="8" borderId="18" applyAlignment="1" pivotButton="0" quotePrefix="0" xfId="0">
      <alignment horizontal="left" vertical="center"/>
    </xf>
    <xf numFmtId="0" fontId="3" fillId="8" borderId="7" applyAlignment="1" pivotButton="0" quotePrefix="0" xfId="0">
      <alignment horizontal="left" vertical="center"/>
    </xf>
    <xf numFmtId="0" fontId="3" fillId="9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left" vertical="center"/>
    </xf>
    <xf numFmtId="0" fontId="3" fillId="9" borderId="5" applyAlignment="1" pivotButton="0" quotePrefix="0" xfId="0">
      <alignment horizontal="left" vertical="center"/>
    </xf>
    <xf numFmtId="164" fontId="3" fillId="9" borderId="7" applyAlignment="1" pivotButton="0" quotePrefix="0" xfId="0">
      <alignment horizontal="left" vertical="center"/>
    </xf>
    <xf numFmtId="164" fontId="6" fillId="9" borderId="17" applyAlignment="1" pivotButton="0" quotePrefix="0" xfId="0">
      <alignment horizontal="left" vertical="center"/>
    </xf>
    <xf numFmtId="164" fontId="6" fillId="9" borderId="2" applyAlignment="1" pivotButton="0" quotePrefix="0" xfId="0">
      <alignment horizontal="left" vertical="center"/>
    </xf>
    <xf numFmtId="0" fontId="6" fillId="9" borderId="18" applyAlignment="1" pivotButton="0" quotePrefix="0" xfId="0">
      <alignment horizontal="left" vertical="center"/>
    </xf>
    <xf numFmtId="0" fontId="3" fillId="9" borderId="12" applyAlignment="1" pivotButton="0" quotePrefix="0" xfId="0">
      <alignment horizontal="left" vertical="center"/>
    </xf>
    <xf numFmtId="0" fontId="6" fillId="9" borderId="17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  <xf numFmtId="0" fontId="3" fillId="9" borderId="7" applyAlignment="1" pivotButton="0" quotePrefix="0" xfId="0">
      <alignment horizontal="left" vertical="center"/>
    </xf>
    <xf numFmtId="0" fontId="6" fillId="8" borderId="17" applyAlignment="1" pivotButton="0" quotePrefix="0" xfId="0">
      <alignment horizontal="left" vertical="center"/>
    </xf>
    <xf numFmtId="0" fontId="6" fillId="8" borderId="2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2" fillId="3" borderId="7" applyAlignment="1" pivotButton="0" quotePrefix="0" xfId="0">
      <alignment horizontal="center" vertical="center"/>
    </xf>
    <xf numFmtId="0" fontId="7" fillId="2" borderId="4" applyAlignment="1" pivotButton="0" quotePrefix="0" xfId="0">
      <alignment horizontal="left" vertical="center"/>
    </xf>
    <xf numFmtId="0" fontId="5" fillId="10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3" fillId="11" borderId="2" applyAlignment="1" pivotButton="0" quotePrefix="0" xfId="0">
      <alignment horizontal="left" vertical="center"/>
    </xf>
    <xf numFmtId="0" fontId="3" fillId="11" borderId="5" applyAlignment="1" pivotButton="0" quotePrefix="0" xfId="0">
      <alignment horizontal="left" vertical="center"/>
    </xf>
    <xf numFmtId="164" fontId="6" fillId="11" borderId="2" applyAlignment="1" pivotButton="0" quotePrefix="0" xfId="0">
      <alignment horizontal="left" vertical="center"/>
    </xf>
    <xf numFmtId="0" fontId="6" fillId="11" borderId="2" applyAlignment="1" pivotButton="0" quotePrefix="0" xfId="0">
      <alignment horizontal="left" vertical="center"/>
    </xf>
    <xf numFmtId="0" fontId="3" fillId="11" borderId="7" applyAlignment="1" pivotButton="0" quotePrefix="0" xfId="0">
      <alignment horizontal="left" vertical="center"/>
    </xf>
    <xf numFmtId="0" fontId="5" fillId="12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3" fillId="13" borderId="2" applyAlignment="1" pivotButton="0" quotePrefix="0" xfId="0">
      <alignment horizontal="left" vertical="center"/>
    </xf>
    <xf numFmtId="0" fontId="3" fillId="13" borderId="5" applyAlignment="1" pivotButton="0" quotePrefix="0" xfId="0">
      <alignment horizontal="left" vertical="center"/>
    </xf>
    <xf numFmtId="164" fontId="6" fillId="13" borderId="2" applyAlignment="1" pivotButton="0" quotePrefix="0" xfId="0">
      <alignment horizontal="left" vertical="center"/>
    </xf>
    <xf numFmtId="0" fontId="6" fillId="13" borderId="2" applyAlignment="1" pivotButton="0" quotePrefix="0" xfId="0">
      <alignment horizontal="left" vertical="center"/>
    </xf>
    <xf numFmtId="0" fontId="3" fillId="13" borderId="7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top" wrapText="1"/>
    </xf>
    <xf numFmtId="0" fontId="3" fillId="14" borderId="5" applyAlignment="1" pivotButton="0" quotePrefix="0" xfId="0">
      <alignment horizontal="left" vertical="center"/>
    </xf>
    <xf numFmtId="164" fontId="6" fillId="14" borderId="2" applyAlignment="1" pivotButton="0" quotePrefix="0" xfId="0">
      <alignment horizontal="left" vertical="center"/>
    </xf>
    <xf numFmtId="0" fontId="6" fillId="14" borderId="2" applyAlignment="1" pivotButton="0" quotePrefix="0" xfId="0">
      <alignment horizontal="left" vertical="center"/>
    </xf>
    <xf numFmtId="0" fontId="3" fillId="14" borderId="7" applyAlignment="1" pivotButton="0" quotePrefix="0" xfId="0">
      <alignment horizontal="left" vertical="center"/>
    </xf>
    <xf numFmtId="164" fontId="3" fillId="11" borderId="7" applyAlignment="1" pivotButton="0" quotePrefix="0" xfId="0">
      <alignment horizontal="left" vertical="center"/>
    </xf>
    <xf numFmtId="164" fontId="3" fillId="14" borderId="7" applyAlignment="1" pivotButton="0" quotePrefix="0" xfId="0">
      <alignment horizontal="left" vertical="center"/>
    </xf>
    <xf numFmtId="0" fontId="3" fillId="11" borderId="2" applyAlignment="1" pivotButton="0" quotePrefix="0" xfId="0">
      <alignment horizontal="left" vertical="top" wrapText="1"/>
    </xf>
    <xf numFmtId="0" fontId="6" fillId="11" borderId="2" applyAlignment="1" pivotButton="0" quotePrefix="0" xfId="0">
      <alignment horizontal="left" vertical="center" wrapText="1"/>
    </xf>
    <xf numFmtId="0" fontId="3" fillId="11" borderId="5" applyAlignment="1" pivotButton="0" quotePrefix="0" xfId="0">
      <alignment horizontal="left" vertical="top" wrapText="1"/>
    </xf>
    <xf numFmtId="164" fontId="3" fillId="11" borderId="2" applyAlignment="1" pivotButton="0" quotePrefix="0" xfId="0">
      <alignment horizontal="left" vertical="top" wrapText="1"/>
    </xf>
    <xf numFmtId="0" fontId="3" fillId="13" borderId="19" applyAlignment="1" pivotButton="0" quotePrefix="0" xfId="0">
      <alignment horizontal="left" vertical="center"/>
    </xf>
    <xf numFmtId="164" fontId="3" fillId="13" borderId="2" applyAlignment="1" pivotButton="0" quotePrefix="0" xfId="0">
      <alignment horizontal="left" vertical="center"/>
    </xf>
    <xf numFmtId="165" fontId="3" fillId="13" borderId="2" applyAlignment="1" pivotButton="0" quotePrefix="0" xfId="0">
      <alignment horizontal="left" vertical="center"/>
    </xf>
    <xf numFmtId="0" fontId="3" fillId="15" borderId="2" applyAlignment="1" pivotButton="0" quotePrefix="0" xfId="0">
      <alignment horizontal="left" vertical="center"/>
    </xf>
    <xf numFmtId="164" fontId="3" fillId="15" borderId="2" applyAlignment="1" pivotButton="0" quotePrefix="0" xfId="0">
      <alignment horizontal="left" vertical="center"/>
    </xf>
    <xf numFmtId="165" fontId="3" fillId="15" borderId="2" applyAlignment="1" pivotButton="0" quotePrefix="0" xfId="0">
      <alignment horizontal="left" vertical="center"/>
    </xf>
    <xf numFmtId="0" fontId="3" fillId="11" borderId="20" applyAlignment="1" pivotButton="0" quotePrefix="0" xfId="0">
      <alignment horizontal="left" vertical="top" wrapText="1"/>
    </xf>
    <xf numFmtId="0" fontId="3" fillId="11" borderId="14" applyAlignment="1" pivotButton="0" quotePrefix="0" xfId="0">
      <alignment horizontal="left" vertical="top" wrapText="1"/>
    </xf>
    <xf numFmtId="0" fontId="3" fillId="16" borderId="4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164" fontId="3" fillId="2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left" vertical="center" wrapText="1"/>
    </xf>
    <xf numFmtId="164" fontId="3" fillId="2" borderId="2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165" fontId="3" fillId="2" borderId="4" applyAlignment="1" pivotButton="0" quotePrefix="0" xfId="0">
      <alignment horizontal="center" vertical="center"/>
    </xf>
    <xf numFmtId="0" fontId="3" fillId="17" borderId="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30" pivotButton="0" quotePrefix="0" xfId="0"/>
    <xf numFmtId="0" fontId="0" fillId="0" borderId="32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3" pivotButton="0" quotePrefix="0" xfId="0"/>
    <xf numFmtId="0" fontId="0" fillId="0" borderId="31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22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5" pivotButton="0" quotePrefix="0" xfId="0"/>
    <xf numFmtId="0" fontId="0" fillId="0" borderId="4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 outlineLevelRow="0"/>
  <cols>
    <col width="9.751601562500001" customWidth="1" min="1" max="1"/>
    <col width="10.64" customWidth="1" min="2" max="2"/>
    <col width="9.528203125000001" customWidth="1" min="3" max="3"/>
    <col width="16.178203125" customWidth="1" min="4" max="4"/>
    <col width="12.4116015625" customWidth="1" min="5" max="5"/>
    <col width="4.4316015625" customWidth="1" min="6" max="6"/>
    <col width="9.528203125000001" customWidth="1" min="7" max="7"/>
    <col width="7.98" customWidth="1" min="8" max="10"/>
    <col width="10.858203125" customWidth="1" min="11" max="11"/>
    <col width="42.56" customWidth="1" min="12" max="12"/>
    <col width="9.528203125000001" customWidth="1" min="13" max="13"/>
    <col width="5.32" customWidth="1" min="14" max="14"/>
    <col width="13.518203125" customWidth="1" min="15" max="15"/>
    <col width="19.95" customWidth="1" min="16" max="20"/>
  </cols>
  <sheetData>
    <row r="1" ht="18.04511278195489" customHeight="1">
      <c r="A1" s="1" t="inlineStr">
        <is>
          <t>序号</t>
        </is>
      </c>
      <c r="B1" s="2" t="inlineStr">
        <is>
          <t>参数地址</t>
        </is>
      </c>
      <c r="C1" s="119" t="n"/>
      <c r="D1" s="3" t="inlineStr">
        <is>
          <t>参数名称</t>
        </is>
      </c>
      <c r="E1" s="120" t="n"/>
      <c r="F1" s="121" t="n"/>
      <c r="G1" s="4" t="inlineStr">
        <is>
          <t>参数
默认值</t>
        </is>
      </c>
      <c r="H1" s="2" t="inlineStr">
        <is>
          <t>实际应用</t>
        </is>
      </c>
      <c r="I1" s="122" t="n"/>
      <c r="J1" s="122" t="n"/>
      <c r="K1" s="119" t="n"/>
      <c r="L1" s="2" t="inlineStr">
        <is>
          <t>备注</t>
        </is>
      </c>
      <c r="M1" s="5" t="n"/>
      <c r="N1" s="6" t="n"/>
    </row>
    <row r="2" ht="19.30827067669173" customHeight="1">
      <c r="A2" s="123" t="n"/>
      <c r="B2" s="2" t="inlineStr">
        <is>
          <t>HEX</t>
        </is>
      </c>
      <c r="C2" s="2" t="inlineStr">
        <is>
          <t>DEC</t>
        </is>
      </c>
      <c r="D2" s="124" t="n"/>
      <c r="E2" s="125" t="n"/>
      <c r="F2" s="126" t="n"/>
      <c r="G2" s="127" t="n"/>
      <c r="H2" s="2" t="inlineStr">
        <is>
          <t>范围</t>
        </is>
      </c>
      <c r="I2" s="2" t="inlineStr">
        <is>
          <t>步进</t>
        </is>
      </c>
      <c r="J2" s="2" t="inlineStr">
        <is>
          <t>单位</t>
        </is>
      </c>
      <c r="K2" s="4" t="inlineStr">
        <is>
          <t>默认值</t>
        </is>
      </c>
      <c r="L2" s="127" t="n"/>
      <c r="M2" s="5" t="n"/>
      <c r="N2" s="7" t="n"/>
      <c r="O2" s="5" t="n"/>
    </row>
    <row r="3" ht="18.04511278195489" customHeight="1">
      <c r="A3" s="8" t="n">
        <v>0</v>
      </c>
      <c r="B3" s="9">
        <f>CONCATENATE("0x",DEC2HEX(C3,4))</f>
        <v/>
      </c>
      <c r="C3" s="10">
        <f>A3</f>
        <v/>
      </c>
      <c r="D3" s="11" t="inlineStr">
        <is>
          <t>Model Code</t>
        </is>
      </c>
      <c r="E3" s="12" t="inlineStr">
        <is>
          <t>MC1</t>
        </is>
      </c>
      <c r="F3" s="13" t="n"/>
      <c r="G3" s="14">
        <f>IF(LEN(K3)&gt;1,CODE(MID(K3,1,1))*256+CODE(MID(K3,2,1)),IF(LEN(K3)&gt;0,CODE(MID(K3,1,1)),0))</f>
        <v/>
      </c>
      <c r="H3" s="15" t="n"/>
      <c r="I3" s="16" t="n"/>
      <c r="J3" s="16" t="n"/>
      <c r="K3" s="17">
        <f>IF(LEN($L$4)&gt;1,CONCATENATE(MID($L$4,1,1),MID($L$4,2,1)),IF(LEN($L$4)&gt;0,MID($L$4,1,1),""))</f>
        <v/>
      </c>
      <c r="L3" s="18" t="inlineStr">
        <is>
          <t>Model Code是一个字符串，共6个字符</t>
        </is>
      </c>
      <c r="M3" s="5" t="n"/>
      <c r="N3" s="5" t="n"/>
      <c r="O3" s="7" t="n"/>
    </row>
    <row r="4" ht="18.04511278195489" customHeight="1">
      <c r="A4" s="8">
        <f>A3+1</f>
        <v/>
      </c>
      <c r="B4" s="9">
        <f>CONCATENATE("0x",DEC2HEX(C4,4))</f>
        <v/>
      </c>
      <c r="C4" s="10">
        <f>A4</f>
        <v/>
      </c>
      <c r="D4" s="128" t="n"/>
      <c r="E4" s="12" t="inlineStr">
        <is>
          <t>MC2</t>
        </is>
      </c>
      <c r="F4" s="13" t="n"/>
      <c r="G4" s="14">
        <f>IF(LEN(K4)&gt;1,CODE(MID(K4,1,1))*256+CODE(MID(K4,2,1)),IF(LEN(K4)&gt;0,CODE(MID(K4,1,1)),0))</f>
        <v/>
      </c>
      <c r="H4" s="15" t="n"/>
      <c r="I4" s="16" t="n"/>
      <c r="J4" s="16" t="n"/>
      <c r="K4" s="17">
        <f>IF(LEN($L$4)&gt;1,CONCATENATE(MID($L$4,3,1),MID($L$4,4,1)),IF(LEN($L$4)&gt;0,MID($L$4,3,1),""))</f>
        <v/>
      </c>
      <c r="L4" s="19" t="inlineStr">
        <is>
          <t>JYM001</t>
        </is>
      </c>
      <c r="M4" s="5" t="n"/>
      <c r="N4" s="5" t="n"/>
      <c r="O4" s="7" t="n"/>
    </row>
    <row r="5" ht="18.04511278195489" customHeight="1">
      <c r="A5" s="8">
        <f>A4+1</f>
        <v/>
      </c>
      <c r="B5" s="9">
        <f>CONCATENATE("0x",DEC2HEX(C5,4))</f>
        <v/>
      </c>
      <c r="C5" s="10">
        <f>A5</f>
        <v/>
      </c>
      <c r="D5" s="123" t="n"/>
      <c r="E5" s="12" t="inlineStr">
        <is>
          <t>MC3</t>
        </is>
      </c>
      <c r="F5" s="13" t="n"/>
      <c r="G5" s="14">
        <f>IF(LEN(K5)&gt;1,CODE(MID(K5,1,1))*256+CODE(MID(K5,2,1)),IF(LEN(K5)&gt;0,CODE(MID(K5,1,1)),0))</f>
        <v/>
      </c>
      <c r="H5" s="15" t="n"/>
      <c r="I5" s="16" t="n"/>
      <c r="J5" s="16" t="n"/>
      <c r="K5" s="17">
        <f>IF(LEN($L$4)&gt;1,CONCATENATE(MID($L$4,5,1),MID($L$4,6,1)),IF(LEN($L$4)&gt;0,MID($L$4,5,1),""))</f>
        <v/>
      </c>
      <c r="L5" s="20" t="n"/>
      <c r="M5" s="5" t="n"/>
      <c r="N5" s="5" t="n"/>
      <c r="O5" s="7" t="n"/>
    </row>
    <row r="6" ht="18.04511278195489" customHeight="1">
      <c r="A6" s="8">
        <f>A5+1</f>
        <v/>
      </c>
      <c r="B6" s="9">
        <f>CONCATENATE("0x",DEC2HEX(C6,4))</f>
        <v/>
      </c>
      <c r="C6" s="21">
        <f>A6</f>
        <v/>
      </c>
      <c r="D6" s="22" t="inlineStr">
        <is>
          <t>Device Name</t>
        </is>
      </c>
      <c r="E6" s="23" t="inlineStr">
        <is>
          <t>DN1</t>
        </is>
      </c>
      <c r="F6" s="24" t="n"/>
      <c r="G6" s="25">
        <f>IF(LEN(K6)&gt;1,CODE(MID(K6,1,1))*256+CODE(MID(K6,2,1)),IF(LEN(K6)&gt;0,CODE(MID(K6,1,1)),0))</f>
        <v/>
      </c>
      <c r="H6" s="26" t="n"/>
      <c r="I6" s="27" t="n"/>
      <c r="J6" s="27" t="n"/>
      <c r="K6" s="28">
        <f>IF(LEN($L$8)&gt;1,CONCATENATE(MID($L$8,1,1),MID($L$8,2,1)),IF(LEN($L$8)&gt;0,MID($L$8,1,1),""))</f>
        <v/>
      </c>
      <c r="L6" s="29" t="inlineStr">
        <is>
          <t>Device Name（设备名称）是一个字符串，</t>
        </is>
      </c>
      <c r="M6" s="5" t="n"/>
      <c r="N6" s="5" t="n"/>
      <c r="O6" s="7" t="n"/>
    </row>
    <row r="7" ht="18.04511278195489" customHeight="1">
      <c r="A7" s="8">
        <f>A6+1</f>
        <v/>
      </c>
      <c r="B7" s="9">
        <f>CONCATENATE("0x",DEC2HEX(C7,4))</f>
        <v/>
      </c>
      <c r="C7" s="21">
        <f>A7</f>
        <v/>
      </c>
      <c r="D7" s="128" t="n"/>
      <c r="E7" s="23" t="inlineStr">
        <is>
          <t>DN2</t>
        </is>
      </c>
      <c r="F7" s="24" t="n"/>
      <c r="G7" s="25">
        <f>IF(LEN(K7)&gt;1,CODE(MID(K7,1,1))*256+CODE(MID(K7,2,1)),IF(LEN(K7)&gt;0,CODE(MID(K7,1,1)),0))</f>
        <v/>
      </c>
      <c r="H7" s="26" t="n"/>
      <c r="I7" s="27" t="n"/>
      <c r="J7" s="27" t="n"/>
      <c r="K7" s="28">
        <f>IF(LEN($L$8)&gt;1,CONCATENATE(MID($L$8,3,1),MID($L$8,4,1)),IF(LEN($L$8)&gt;0,MID($L$8,3,1),""))</f>
        <v/>
      </c>
      <c r="L7" s="29" t="inlineStr">
        <is>
          <t>共16个字符</t>
        </is>
      </c>
      <c r="M7" s="5" t="n"/>
      <c r="N7" s="5" t="n"/>
      <c r="O7" s="7" t="n"/>
    </row>
    <row r="8" ht="18.04511278195489" customHeight="1">
      <c r="A8" s="8">
        <f>A7+1</f>
        <v/>
      </c>
      <c r="B8" s="9">
        <f>CONCATENATE("0x",DEC2HEX(C8,4))</f>
        <v/>
      </c>
      <c r="C8" s="21">
        <f>A8</f>
        <v/>
      </c>
      <c r="D8" s="128" t="n"/>
      <c r="E8" s="23" t="inlineStr">
        <is>
          <t>DN3</t>
        </is>
      </c>
      <c r="F8" s="24" t="n"/>
      <c r="G8" s="25">
        <f>IF(LEN(K8)&gt;1,CODE(MID(K8,1,1))*256+CODE(MID(K8,2,1)),IF(LEN(K8)&gt;0,CODE(MID(K8,1,1)),0))</f>
        <v/>
      </c>
      <c r="H8" s="26" t="n"/>
      <c r="I8" s="27" t="n"/>
      <c r="J8" s="27" t="n"/>
      <c r="K8" s="28">
        <f>IF(LEN($L$8)&gt;1,CONCATENATE(MID($L$8,5,1),MID($L$8,6,1)),IF(LEN($L$8)&gt;0,MID($L$8,5,1),""))</f>
        <v/>
      </c>
      <c r="L8" s="29" t="inlineStr">
        <is>
          <t>M001</t>
        </is>
      </c>
      <c r="M8" s="5" t="n"/>
      <c r="N8" s="5" t="n"/>
      <c r="O8" s="7" t="n"/>
    </row>
    <row r="9" ht="18.04511278195489" customHeight="1">
      <c r="A9" s="8">
        <f>A8+1</f>
        <v/>
      </c>
      <c r="B9" s="9">
        <f>CONCATENATE("0x",DEC2HEX(C9,4))</f>
        <v/>
      </c>
      <c r="C9" s="21">
        <f>A9</f>
        <v/>
      </c>
      <c r="D9" s="128" t="n"/>
      <c r="E9" s="23" t="inlineStr">
        <is>
          <t>DN4</t>
        </is>
      </c>
      <c r="F9" s="24" t="n"/>
      <c r="G9" s="25">
        <f>IF(LEN(K9)&gt;1,CODE(MID(K9,1,1))*256+CODE(MID(K9,2,1)),IF(LEN(K9)&gt;0,CODE(MID(K9,1,1)),0))</f>
        <v/>
      </c>
      <c r="H9" s="26" t="n"/>
      <c r="I9" s="27" t="n"/>
      <c r="J9" s="27" t="n"/>
      <c r="K9" s="28">
        <f>IF(LEN($L$8)&gt;1,CONCATENATE(MID($L$8,7,1),MID($L$8,8,1)),IF(LEN($L$8)&gt;0,MID($L$8,7,1),""))</f>
        <v/>
      </c>
      <c r="L9" s="30" t="n"/>
      <c r="M9" s="5" t="n"/>
      <c r="N9" s="5" t="n"/>
      <c r="O9" s="7" t="n"/>
    </row>
    <row r="10" ht="18.04511278195489" customHeight="1">
      <c r="A10" s="8">
        <f>A9+1</f>
        <v/>
      </c>
      <c r="B10" s="9">
        <f>CONCATENATE("0x",DEC2HEX(C10,4))</f>
        <v/>
      </c>
      <c r="C10" s="21">
        <f>A10</f>
        <v/>
      </c>
      <c r="D10" s="128" t="n"/>
      <c r="E10" s="23" t="inlineStr">
        <is>
          <t>DN5</t>
        </is>
      </c>
      <c r="F10" s="24" t="n"/>
      <c r="G10" s="25">
        <f>IF(LEN(K10)&gt;1,CODE(MID(K10,1,1))*256+CODE(MID(K10,2,1)),IF(LEN(K10)&gt;0,CODE(MID(K10,1,1)),0))</f>
        <v/>
      </c>
      <c r="H10" s="26" t="n"/>
      <c r="I10" s="27" t="n"/>
      <c r="J10" s="27" t="n"/>
      <c r="K10" s="28">
        <f>IF(LEN($L$8)&gt;1,CONCATENATE(MID($L$8,9,1),MID($L$8,10,1)),IF(LEN($L$8)&gt;0,MID($L$8,9,1),""))</f>
        <v/>
      </c>
      <c r="L10" s="30" t="n"/>
      <c r="M10" s="5" t="n"/>
      <c r="N10" s="5" t="n"/>
      <c r="O10" s="7" t="n"/>
    </row>
    <row r="11" ht="18.04511278195489" customHeight="1">
      <c r="A11" s="8">
        <f>A10+1</f>
        <v/>
      </c>
      <c r="B11" s="9">
        <f>CONCATENATE("0x",DEC2HEX(C11,4))</f>
        <v/>
      </c>
      <c r="C11" s="21">
        <f>A11</f>
        <v/>
      </c>
      <c r="D11" s="128" t="n"/>
      <c r="E11" s="23" t="inlineStr">
        <is>
          <t>DN6</t>
        </is>
      </c>
      <c r="F11" s="24" t="n"/>
      <c r="G11" s="25">
        <f>IF(LEN(K11)&gt;1,CODE(MID(K11,1,1))*256+CODE(MID(K11,2,1)),IF(LEN(K11)&gt;0,CODE(MID(K11,1,1)),0))</f>
        <v/>
      </c>
      <c r="H11" s="26" t="n"/>
      <c r="I11" s="27" t="n"/>
      <c r="J11" s="27" t="n"/>
      <c r="K11" s="28">
        <f>IF(LEN($L$8)&gt;1,CONCATENATE(MID($L$8,11,1),MID($L$8,12,1)),IF(LEN($L$8)&gt;0,MID($L$8,11,1),""))</f>
        <v/>
      </c>
      <c r="L11" s="30" t="n"/>
      <c r="M11" s="5" t="n"/>
      <c r="N11" s="5" t="n"/>
      <c r="O11" s="7" t="n"/>
    </row>
    <row r="12" ht="18.04511278195489" customHeight="1">
      <c r="A12" s="8">
        <f>A11+1</f>
        <v/>
      </c>
      <c r="B12" s="9">
        <f>CONCATENATE("0x",DEC2HEX(C12,4))</f>
        <v/>
      </c>
      <c r="C12" s="21">
        <f>A12</f>
        <v/>
      </c>
      <c r="D12" s="128" t="n"/>
      <c r="E12" s="23" t="inlineStr">
        <is>
          <t>DN7</t>
        </is>
      </c>
      <c r="F12" s="24" t="n"/>
      <c r="G12" s="25">
        <f>IF(LEN(K12)&gt;1,CODE(MID(K12,1,1))*256+CODE(MID(K12,2,1)),IF(LEN(K12)&gt;0,CODE(MID(K12,1,1)),0))</f>
        <v/>
      </c>
      <c r="H12" s="26" t="n"/>
      <c r="I12" s="27" t="n"/>
      <c r="J12" s="27" t="n"/>
      <c r="K12" s="28">
        <f>IF(LEN($L$8)&gt;1,CONCATENATE(MID($L$8,13,1),MID($L$8,14,1)),IF(LEN($L$8)&gt;0,MID($L$8,13,1),""))</f>
        <v/>
      </c>
      <c r="L12" s="30" t="n"/>
      <c r="M12" s="5" t="n"/>
      <c r="N12" s="5" t="n"/>
      <c r="O12" s="7" t="n"/>
    </row>
    <row r="13" ht="18.04511278195489" customHeight="1">
      <c r="A13" s="8">
        <f>A12+1</f>
        <v/>
      </c>
      <c r="B13" s="9">
        <f>CONCATENATE("0x",DEC2HEX(C13,4))</f>
        <v/>
      </c>
      <c r="C13" s="21">
        <f>A13</f>
        <v/>
      </c>
      <c r="D13" s="123" t="n"/>
      <c r="E13" s="23" t="inlineStr">
        <is>
          <t>DN8</t>
        </is>
      </c>
      <c r="F13" s="24" t="n"/>
      <c r="G13" s="25">
        <f>IF(LEN(K13)&gt;1,CODE(MID(K13,1,1))*256+CODE(MID(K13,2,1)),IF(LEN(K13)&gt;0,CODE(MID(K13,1,1)),0))</f>
        <v/>
      </c>
      <c r="H13" s="26" t="n"/>
      <c r="I13" s="27" t="n"/>
      <c r="J13" s="27" t="n"/>
      <c r="K13" s="28">
        <f>IF(LEN($L$8)&gt;1,CONCATENATE(MID($L$8,15,1),MID($L$8,16,1)),IF(LEN($L$8)&gt;0,MID($L$8,15,1),""))</f>
        <v/>
      </c>
      <c r="L13" s="30" t="n"/>
      <c r="M13" s="5" t="n"/>
      <c r="N13" s="5" t="n"/>
      <c r="O13" s="7" t="n"/>
    </row>
    <row r="14" ht="18.04511278195489" customHeight="1">
      <c r="A14" s="8">
        <f>A13+1</f>
        <v/>
      </c>
      <c r="B14" s="9">
        <f>CONCATENATE("0x",DEC2HEX(C14,4))</f>
        <v/>
      </c>
      <c r="C14" s="10">
        <f>A14</f>
        <v/>
      </c>
      <c r="D14" s="11" t="inlineStr">
        <is>
          <t>Firmware Rev</t>
        </is>
      </c>
      <c r="E14" s="31" t="inlineStr">
        <is>
          <t>X</t>
        </is>
      </c>
      <c r="F14" s="13" t="n"/>
      <c r="G14" s="14" t="n">
        <v>1</v>
      </c>
      <c r="H14" s="15" t="n"/>
      <c r="I14" s="16" t="n"/>
      <c r="J14" s="16" t="n"/>
      <c r="K14" s="17">
        <f>G14</f>
        <v/>
      </c>
      <c r="L14" s="18" t="inlineStr">
        <is>
          <t>固件程序版本号，X.Y.Z.Build</t>
        </is>
      </c>
      <c r="M14" s="5" t="n"/>
      <c r="N14" s="5" t="n"/>
      <c r="O14" s="7" t="n"/>
    </row>
    <row r="15" ht="18.04511278195489" customHeight="1">
      <c r="A15" s="8">
        <f>A14+1</f>
        <v/>
      </c>
      <c r="B15" s="9">
        <f>CONCATENATE("0x",DEC2HEX(C15,4))</f>
        <v/>
      </c>
      <c r="C15" s="10">
        <f>A15</f>
        <v/>
      </c>
      <c r="D15" s="128" t="n"/>
      <c r="E15" s="31" t="inlineStr">
        <is>
          <t>Y</t>
        </is>
      </c>
      <c r="F15" s="13" t="n"/>
      <c r="G15" s="14" t="n">
        <v>0</v>
      </c>
      <c r="H15" s="15" t="n"/>
      <c r="I15" s="16" t="n"/>
      <c r="J15" s="16" t="n"/>
      <c r="K15" s="17">
        <f>G15</f>
        <v/>
      </c>
      <c r="L15" s="32">
        <f>CONCATENATE(K14,".",K15,".",K16,".",K17)</f>
        <v/>
      </c>
      <c r="M15" s="5" t="n"/>
      <c r="N15" s="5" t="n"/>
      <c r="O15" s="7" t="n"/>
    </row>
    <row r="16" ht="18.04511278195489" customHeight="1">
      <c r="A16" s="8">
        <f>A15+1</f>
        <v/>
      </c>
      <c r="B16" s="9">
        <f>CONCATENATE("0x",DEC2HEX(C16,4))</f>
        <v/>
      </c>
      <c r="C16" s="10">
        <f>A16</f>
        <v/>
      </c>
      <c r="D16" s="128" t="n"/>
      <c r="E16" s="31" t="inlineStr">
        <is>
          <t>Z</t>
        </is>
      </c>
      <c r="F16" s="13" t="n"/>
      <c r="G16" s="14" t="n">
        <v>0</v>
      </c>
      <c r="H16" s="15" t="n"/>
      <c r="I16" s="16" t="n"/>
      <c r="J16" s="16" t="n"/>
      <c r="K16" s="17">
        <f>G16</f>
        <v/>
      </c>
      <c r="L16" s="33" t="n"/>
      <c r="M16" s="5" t="n"/>
      <c r="N16" s="5" t="n"/>
      <c r="O16" s="7" t="n"/>
    </row>
    <row r="17" ht="18.04511278195489" customHeight="1">
      <c r="A17" s="8">
        <f>A16+1</f>
        <v/>
      </c>
      <c r="B17" s="9">
        <f>CONCATENATE("0x",DEC2HEX(C17,4))</f>
        <v/>
      </c>
      <c r="C17" s="10">
        <f>A17</f>
        <v/>
      </c>
      <c r="D17" s="128" t="n"/>
      <c r="E17" s="31" t="inlineStr">
        <is>
          <t>Build</t>
        </is>
      </c>
      <c r="F17" s="13" t="n"/>
      <c r="G17" s="14" t="n">
        <v>0</v>
      </c>
      <c r="H17" s="15" t="n"/>
      <c r="I17" s="16" t="n"/>
      <c r="J17" s="16" t="n"/>
      <c r="K17" s="17">
        <f>G17</f>
        <v/>
      </c>
      <c r="L17" s="20" t="n"/>
      <c r="M17" s="5" t="n"/>
      <c r="N17" s="5" t="n"/>
      <c r="O17" s="7" t="n"/>
    </row>
    <row r="18" ht="18.04511278195489" customHeight="1">
      <c r="A18" s="8">
        <f>A17+1</f>
        <v/>
      </c>
      <c r="B18" s="9">
        <f>CONCATENATE("0x",DEC2HEX(C18,4))</f>
        <v/>
      </c>
      <c r="C18" s="10">
        <f>A18</f>
        <v/>
      </c>
      <c r="D18" s="123" t="n"/>
      <c r="E18" s="31" t="inlineStr">
        <is>
          <t>Type</t>
        </is>
      </c>
      <c r="F18" s="13" t="n"/>
      <c r="G18" s="14" t="n">
        <v>1</v>
      </c>
      <c r="H18" s="15" t="n"/>
      <c r="I18" s="16" t="n"/>
      <c r="J18" s="16" t="n"/>
      <c r="K18" s="17">
        <f>G18</f>
        <v/>
      </c>
      <c r="L18" s="34" t="inlineStr">
        <is>
          <t>版本类型，0 Demo, 1 Release</t>
        </is>
      </c>
      <c r="M18" s="5" t="n"/>
      <c r="N18" s="5" t="n"/>
      <c r="O18" s="7" t="n"/>
    </row>
    <row r="19" ht="18.04511278195489" customHeight="1">
      <c r="A19" s="8">
        <f>A18+1</f>
        <v/>
      </c>
      <c r="B19" s="9">
        <f>CONCATENATE("0x",DEC2HEX(C19,4))</f>
        <v/>
      </c>
      <c r="C19" s="21">
        <f>A19</f>
        <v/>
      </c>
      <c r="D19" s="22" t="inlineStr">
        <is>
          <t>DSP1 Rev</t>
        </is>
      </c>
      <c r="E19" s="35" t="inlineStr">
        <is>
          <t>X</t>
        </is>
      </c>
      <c r="F19" s="24" t="n"/>
      <c r="G19" s="25" t="n">
        <v>1</v>
      </c>
      <c r="H19" s="26" t="n"/>
      <c r="I19" s="27" t="n"/>
      <c r="J19" s="27" t="n"/>
      <c r="K19" s="28">
        <f>G19</f>
        <v/>
      </c>
      <c r="L19" s="36" t="inlineStr">
        <is>
          <t>DSP1程序版本号，未使用</t>
        </is>
      </c>
      <c r="M19" s="5" t="n"/>
      <c r="N19" s="5" t="n"/>
      <c r="O19" s="7" t="n"/>
    </row>
    <row r="20" ht="18.04511278195489" customHeight="1">
      <c r="A20" s="8">
        <f>A19+1</f>
        <v/>
      </c>
      <c r="B20" s="9">
        <f>CONCATENATE("0x",DEC2HEX(C20,4))</f>
        <v/>
      </c>
      <c r="C20" s="21">
        <f>A20</f>
        <v/>
      </c>
      <c r="D20" s="128" t="n"/>
      <c r="E20" s="35" t="inlineStr">
        <is>
          <t>Y</t>
        </is>
      </c>
      <c r="F20" s="24" t="n"/>
      <c r="G20" s="25" t="n">
        <v>0</v>
      </c>
      <c r="H20" s="26" t="n"/>
      <c r="I20" s="27" t="n"/>
      <c r="J20" s="27" t="n"/>
      <c r="K20" s="28">
        <f>G20</f>
        <v/>
      </c>
      <c r="L20" s="37" t="n"/>
      <c r="M20" s="5" t="n"/>
      <c r="N20" s="5" t="n"/>
      <c r="O20" s="7" t="n"/>
    </row>
    <row r="21" ht="18.04511278195489" customHeight="1">
      <c r="A21" s="8">
        <f>A20+1</f>
        <v/>
      </c>
      <c r="B21" s="9">
        <f>CONCATENATE("0x",DEC2HEX(C21,4))</f>
        <v/>
      </c>
      <c r="C21" s="21">
        <f>A21</f>
        <v/>
      </c>
      <c r="D21" s="123" t="n"/>
      <c r="E21" s="35" t="inlineStr">
        <is>
          <t>Z</t>
        </is>
      </c>
      <c r="F21" s="24" t="n"/>
      <c r="G21" s="25" t="n">
        <v>0</v>
      </c>
      <c r="H21" s="26" t="n"/>
      <c r="I21" s="27" t="n"/>
      <c r="J21" s="27" t="n"/>
      <c r="K21" s="28">
        <f>G21</f>
        <v/>
      </c>
      <c r="L21" s="37" t="n"/>
      <c r="M21" s="5" t="n"/>
      <c r="N21" s="5" t="n"/>
      <c r="O21" s="7" t="n"/>
    </row>
    <row r="22" ht="18.04511278195489" customHeight="1">
      <c r="A22" s="8">
        <f>A21+1</f>
        <v/>
      </c>
      <c r="B22" s="9">
        <f>CONCATENATE("0x",DEC2HEX(C22,4))</f>
        <v/>
      </c>
      <c r="C22" s="10">
        <f>A22</f>
        <v/>
      </c>
      <c r="D22" s="11" t="inlineStr">
        <is>
          <t>DSP2 Rev</t>
        </is>
      </c>
      <c r="E22" s="31" t="inlineStr">
        <is>
          <t>X</t>
        </is>
      </c>
      <c r="F22" s="13" t="n"/>
      <c r="G22" s="14" t="n">
        <v>1</v>
      </c>
      <c r="H22" s="15" t="n"/>
      <c r="I22" s="16" t="n"/>
      <c r="J22" s="16" t="n"/>
      <c r="K22" s="17">
        <f>G22</f>
        <v/>
      </c>
      <c r="L22" s="18" t="inlineStr">
        <is>
          <t>DSP2程序版本号，未使用</t>
        </is>
      </c>
      <c r="M22" s="5" t="n"/>
      <c r="N22" s="5" t="n"/>
      <c r="O22" s="7" t="n"/>
    </row>
    <row r="23" ht="18.04511278195489" customHeight="1">
      <c r="A23" s="8">
        <f>A22+1</f>
        <v/>
      </c>
      <c r="B23" s="9">
        <f>CONCATENATE("0x",DEC2HEX(C23,4))</f>
        <v/>
      </c>
      <c r="C23" s="10">
        <f>A23</f>
        <v/>
      </c>
      <c r="D23" s="128" t="n"/>
      <c r="E23" s="31" t="inlineStr">
        <is>
          <t>Y</t>
        </is>
      </c>
      <c r="F23" s="13" t="n"/>
      <c r="G23" s="14" t="n">
        <v>0</v>
      </c>
      <c r="H23" s="15" t="n"/>
      <c r="I23" s="16" t="n"/>
      <c r="J23" s="16" t="n"/>
      <c r="K23" s="17">
        <f>G23</f>
        <v/>
      </c>
      <c r="L23" s="38" t="n"/>
      <c r="M23" s="5" t="n"/>
      <c r="N23" s="5" t="n"/>
      <c r="O23" s="7" t="n"/>
    </row>
    <row r="24" ht="18.04511278195489" customHeight="1">
      <c r="A24" s="8">
        <f>A23+1</f>
        <v/>
      </c>
      <c r="B24" s="9">
        <f>CONCATENATE("0x",DEC2HEX(C24,4))</f>
        <v/>
      </c>
      <c r="C24" s="10">
        <f>A24</f>
        <v/>
      </c>
      <c r="D24" s="123" t="n"/>
      <c r="E24" s="31" t="inlineStr">
        <is>
          <t>Z</t>
        </is>
      </c>
      <c r="F24" s="13" t="n"/>
      <c r="G24" s="14" t="n">
        <v>0</v>
      </c>
      <c r="H24" s="15" t="n"/>
      <c r="I24" s="16" t="n"/>
      <c r="J24" s="16" t="n"/>
      <c r="K24" s="17">
        <f>G24</f>
        <v/>
      </c>
      <c r="L24" s="38" t="n"/>
      <c r="M24" s="5" t="n"/>
      <c r="N24" s="5" t="n"/>
      <c r="O24" s="7" t="n"/>
    </row>
    <row r="25" ht="18.04511278195489" customHeight="1">
      <c r="A25" s="8">
        <f>A24+1</f>
        <v/>
      </c>
      <c r="B25" s="9">
        <f>CONCATENATE("0x",DEC2HEX(C25,4))</f>
        <v/>
      </c>
      <c r="C25" s="21">
        <f>A25</f>
        <v/>
      </c>
      <c r="D25" s="22" t="inlineStr">
        <is>
          <t>USB ID</t>
        </is>
      </c>
      <c r="E25" s="35" t="inlineStr">
        <is>
          <t>VID</t>
        </is>
      </c>
      <c r="F25" s="24" t="n"/>
      <c r="G25" s="25">
        <f>HEX2DEC(MID(L25,3,2))*256+HEX2DEC(MID(L25,5,2))</f>
        <v/>
      </c>
      <c r="H25" s="26" t="n"/>
      <c r="I25" s="27" t="n"/>
      <c r="J25" s="27" t="n"/>
      <c r="K25" s="39" t="n"/>
      <c r="L25" s="36" t="inlineStr">
        <is>
          <t>0x0A67</t>
        </is>
      </c>
      <c r="M25" s="5" t="n"/>
      <c r="N25" s="5" t="n"/>
      <c r="O25" s="7" t="n"/>
    </row>
    <row r="26" ht="18.04511278195489" customHeight="1">
      <c r="A26" s="8">
        <f>A25+1</f>
        <v/>
      </c>
      <c r="B26" s="9">
        <f>CONCATENATE("0x",DEC2HEX(C26,4))</f>
        <v/>
      </c>
      <c r="C26" s="21">
        <f>A26</f>
        <v/>
      </c>
      <c r="D26" s="123" t="n"/>
      <c r="E26" s="35" t="inlineStr">
        <is>
          <t>PID</t>
        </is>
      </c>
      <c r="F26" s="24" t="n"/>
      <c r="G26" s="25">
        <f>HEX2DEC(MID(L26,3,2))*256+HEX2DEC(MID(L26,5,2))</f>
        <v/>
      </c>
      <c r="H26" s="26" t="n"/>
      <c r="I26" s="27" t="n"/>
      <c r="J26" s="27" t="n"/>
      <c r="K26" s="39" t="n"/>
      <c r="L26" s="36" t="inlineStr">
        <is>
          <t>0x0010</t>
        </is>
      </c>
      <c r="M26" s="5" t="n"/>
      <c r="N26" s="5" t="n"/>
      <c r="O26" s="7" t="n"/>
    </row>
    <row r="27" ht="18.04511278195489" customHeight="1">
      <c r="A27" s="8">
        <f>A26+1</f>
        <v/>
      </c>
      <c r="B27" s="9">
        <f>CONCATENATE("0x",DEC2HEX(C27,4))</f>
        <v/>
      </c>
      <c r="C27" s="10">
        <f>A27</f>
        <v/>
      </c>
      <c r="D27" s="40" t="inlineStr">
        <is>
          <t>Date</t>
        </is>
      </c>
      <c r="E27" s="31" t="inlineStr">
        <is>
          <t>Year</t>
        </is>
      </c>
      <c r="F27" s="13" t="n"/>
      <c r="G27" s="14" t="n">
        <v>2027</v>
      </c>
      <c r="H27" s="15" t="n"/>
      <c r="I27" s="16" t="n"/>
      <c r="J27" s="16" t="n"/>
      <c r="K27" s="17">
        <f>G27</f>
        <v/>
      </c>
      <c r="L27" s="18" t="inlineStr">
        <is>
          <t>设备生产日期，YYYY.MM.DD</t>
        </is>
      </c>
      <c r="M27" s="5" t="n"/>
      <c r="N27" s="5" t="n"/>
      <c r="O27" s="7" t="n"/>
    </row>
    <row r="28" ht="18.04511278195489" customHeight="1">
      <c r="A28" s="8">
        <f>A27+1</f>
        <v/>
      </c>
      <c r="B28" s="9">
        <f>CONCATENATE("0x",DEC2HEX(C28,4))</f>
        <v/>
      </c>
      <c r="C28" s="10">
        <f>A28</f>
        <v/>
      </c>
      <c r="D28" s="128" t="n"/>
      <c r="E28" s="31" t="inlineStr">
        <is>
          <t>Month</t>
        </is>
      </c>
      <c r="F28" s="13" t="n"/>
      <c r="G28" s="14" t="n">
        <v>1</v>
      </c>
      <c r="H28" s="15" t="n"/>
      <c r="I28" s="16" t="n"/>
      <c r="J28" s="16" t="n"/>
      <c r="K28" s="17">
        <f>G28</f>
        <v/>
      </c>
      <c r="L28" s="41">
        <f>CONCATENATE(K27,".",K28,".",K29)</f>
        <v/>
      </c>
      <c r="M28" s="5" t="n"/>
      <c r="N28" s="5" t="n"/>
      <c r="O28" s="7" t="n"/>
    </row>
    <row r="29" ht="18.04511278195489" customHeight="1">
      <c r="A29" s="8">
        <f>A28+1</f>
        <v/>
      </c>
      <c r="B29" s="9">
        <f>CONCATENATE("0x",DEC2HEX(C29,4))</f>
        <v/>
      </c>
      <c r="C29" s="10">
        <f>A29</f>
        <v/>
      </c>
      <c r="D29" s="127" t="n"/>
      <c r="E29" s="31" t="inlineStr">
        <is>
          <t>Day</t>
        </is>
      </c>
      <c r="F29" s="13" t="n"/>
      <c r="G29" s="14" t="n">
        <v>1</v>
      </c>
      <c r="H29" s="15" t="n"/>
      <c r="I29" s="16" t="n"/>
      <c r="J29" s="16" t="n"/>
      <c r="K29" s="17">
        <f>G29</f>
        <v/>
      </c>
      <c r="L29" s="42" t="n"/>
      <c r="M29" s="5" t="n"/>
      <c r="N29" s="5" t="n"/>
      <c r="O29" s="7" t="n"/>
    </row>
    <row r="30" ht="18.04511278195489" customHeight="1">
      <c r="A30" s="8">
        <f>A29+1</f>
        <v/>
      </c>
      <c r="B30" s="9">
        <f>CONCATENATE("0x",DEC2HEX(C30,4))</f>
        <v/>
      </c>
      <c r="C30" s="21">
        <f>A30</f>
        <v/>
      </c>
      <c r="D30" s="43" t="inlineStr">
        <is>
          <t>Time</t>
        </is>
      </c>
      <c r="E30" s="35" t="inlineStr">
        <is>
          <t>Hour</t>
        </is>
      </c>
      <c r="F30" s="24" t="n"/>
      <c r="G30" s="25" t="n">
        <v>0</v>
      </c>
      <c r="H30" s="26" t="n"/>
      <c r="I30" s="27" t="n"/>
      <c r="J30" s="27" t="n"/>
      <c r="K30" s="28">
        <f>G30</f>
        <v/>
      </c>
      <c r="L30" s="44" t="inlineStr">
        <is>
          <t>生产时间，hh:mm:ss</t>
        </is>
      </c>
      <c r="M30" s="5" t="n"/>
      <c r="N30" s="5" t="n"/>
      <c r="O30" s="7" t="n"/>
    </row>
    <row r="31" ht="18.04511278195489" customHeight="1">
      <c r="A31" s="8">
        <f>A30+1</f>
        <v/>
      </c>
      <c r="B31" s="9">
        <f>CONCATENATE("0x",DEC2HEX(C31,4))</f>
        <v/>
      </c>
      <c r="C31" s="21">
        <f>A31</f>
        <v/>
      </c>
      <c r="D31" s="128" t="n"/>
      <c r="E31" s="35" t="inlineStr">
        <is>
          <t>Minute</t>
        </is>
      </c>
      <c r="F31" s="24" t="n"/>
      <c r="G31" s="25" t="n">
        <v>0</v>
      </c>
      <c r="H31" s="26" t="n"/>
      <c r="I31" s="27" t="n"/>
      <c r="J31" s="27" t="n"/>
      <c r="K31" s="28">
        <f>G31</f>
        <v/>
      </c>
      <c r="L31" s="45">
        <f>CONCATENATE(K30,":",K31,":",K32)</f>
        <v/>
      </c>
      <c r="M31" s="5" t="n"/>
      <c r="N31" s="5" t="n"/>
      <c r="O31" s="7" t="n"/>
    </row>
    <row r="32" ht="18.04511278195489" customHeight="1">
      <c r="A32" s="8">
        <f>A31+1</f>
        <v/>
      </c>
      <c r="B32" s="9">
        <f>CONCATENATE("0x",DEC2HEX(C32,4))</f>
        <v/>
      </c>
      <c r="C32" s="21">
        <f>A32</f>
        <v/>
      </c>
      <c r="D32" s="127" t="n"/>
      <c r="E32" s="35" t="inlineStr">
        <is>
          <t>Second</t>
        </is>
      </c>
      <c r="F32" s="24" t="n"/>
      <c r="G32" s="25" t="n">
        <v>0</v>
      </c>
      <c r="H32" s="26" t="n"/>
      <c r="I32" s="27" t="n"/>
      <c r="J32" s="27" t="n"/>
      <c r="K32" s="28">
        <f>G32</f>
        <v/>
      </c>
      <c r="L32" s="46" t="n"/>
      <c r="M32" s="5" t="n"/>
      <c r="N32" s="5" t="n"/>
      <c r="O32" s="7" t="n"/>
    </row>
    <row r="33" ht="18.04511278195489" customHeight="1">
      <c r="A33" s="8">
        <f>A32+1</f>
        <v/>
      </c>
      <c r="B33" s="9">
        <f>CONCATENATE("0x",DEC2HEX(C33,4))</f>
        <v/>
      </c>
      <c r="C33" s="10">
        <f>A33</f>
        <v/>
      </c>
      <c r="D33" s="47" t="inlineStr">
        <is>
          <t>Device SN</t>
        </is>
      </c>
      <c r="E33" s="31" t="inlineStr">
        <is>
          <t>SN1</t>
        </is>
      </c>
      <c r="F33" s="129" t="n"/>
      <c r="G33" s="31" t="n">
        <v>0</v>
      </c>
      <c r="H33" s="15" t="n"/>
      <c r="I33" s="16" t="n"/>
      <c r="J33" s="16" t="n"/>
      <c r="K33" s="48" t="n"/>
      <c r="L33" s="34" t="inlineStr">
        <is>
          <t>设备生产序列号</t>
        </is>
      </c>
      <c r="M33" s="5" t="n"/>
      <c r="N33" s="5" t="n"/>
      <c r="O33" s="7" t="n"/>
    </row>
    <row r="34" ht="18.04511278195489" customHeight="1">
      <c r="A34" s="8">
        <f>A33+1</f>
        <v/>
      </c>
      <c r="B34" s="9">
        <f>CONCATENATE("0x",DEC2HEX(C34,4))</f>
        <v/>
      </c>
      <c r="C34" s="10">
        <f>A34</f>
        <v/>
      </c>
      <c r="D34" s="128" t="n"/>
      <c r="E34" s="31" t="inlineStr">
        <is>
          <t>SN2</t>
        </is>
      </c>
      <c r="F34" s="129" t="n"/>
      <c r="G34" s="31" t="n">
        <v>0</v>
      </c>
      <c r="H34" s="15" t="n"/>
      <c r="I34" s="16" t="n"/>
      <c r="J34" s="16" t="n"/>
      <c r="K34" s="48" t="n"/>
      <c r="L34" s="34" t="n"/>
      <c r="M34" s="5" t="n"/>
      <c r="N34" s="5" t="n"/>
      <c r="O34" s="7" t="n"/>
    </row>
    <row r="35" ht="18.04511278195489" customHeight="1">
      <c r="A35" s="8">
        <f>A34+1</f>
        <v/>
      </c>
      <c r="B35" s="9">
        <f>CONCATENATE("0x",DEC2HEX(C35,4))</f>
        <v/>
      </c>
      <c r="C35" s="10">
        <f>A35</f>
        <v/>
      </c>
      <c r="D35" s="128" t="n"/>
      <c r="E35" s="31" t="inlineStr">
        <is>
          <t>SN3</t>
        </is>
      </c>
      <c r="F35" s="129" t="n"/>
      <c r="G35" s="31" t="n">
        <v>0</v>
      </c>
      <c r="H35" s="15" t="n"/>
      <c r="I35" s="16" t="n"/>
      <c r="J35" s="16" t="n"/>
      <c r="K35" s="48" t="n"/>
      <c r="L35" s="13" t="n"/>
      <c r="M35" s="5" t="n"/>
      <c r="N35" s="5" t="n"/>
      <c r="O35" s="7" t="n"/>
    </row>
    <row r="36" ht="18.04511278195489" customHeight="1">
      <c r="A36" s="8">
        <f>A35+1</f>
        <v/>
      </c>
      <c r="B36" s="9">
        <f>CONCATENATE("0x",DEC2HEX(C36,4))</f>
        <v/>
      </c>
      <c r="C36" s="10">
        <f>A36</f>
        <v/>
      </c>
      <c r="D36" s="128" t="n"/>
      <c r="E36" s="31" t="inlineStr">
        <is>
          <t>SN4</t>
        </is>
      </c>
      <c r="F36" s="129" t="n"/>
      <c r="G36" s="31" t="n">
        <v>0</v>
      </c>
      <c r="H36" s="15" t="n"/>
      <c r="I36" s="16" t="n"/>
      <c r="J36" s="16" t="n"/>
      <c r="K36" s="48" t="n"/>
      <c r="L36" s="13" t="n"/>
      <c r="M36" s="5" t="n"/>
      <c r="N36" s="5" t="n"/>
      <c r="O36" s="7" t="n"/>
    </row>
    <row r="37" ht="18.04511278195489" customHeight="1">
      <c r="A37" s="8">
        <f>A36+1</f>
        <v/>
      </c>
      <c r="B37" s="9">
        <f>CONCATENATE("0x",DEC2HEX(C37,4))</f>
        <v/>
      </c>
      <c r="C37" s="10">
        <f>A37</f>
        <v/>
      </c>
      <c r="D37" s="128" t="n"/>
      <c r="E37" s="31" t="inlineStr">
        <is>
          <t>SN5</t>
        </is>
      </c>
      <c r="F37" s="129" t="n"/>
      <c r="G37" s="31" t="n">
        <v>0</v>
      </c>
      <c r="H37" s="15" t="n"/>
      <c r="I37" s="16" t="n"/>
      <c r="J37" s="16" t="n"/>
      <c r="K37" s="48" t="n"/>
      <c r="L37" s="13" t="n"/>
      <c r="M37" s="5" t="n"/>
      <c r="N37" s="5" t="n"/>
      <c r="O37" s="7" t="n"/>
    </row>
    <row r="38" ht="18.04511278195489" customHeight="1">
      <c r="A38" s="8">
        <f>A37+1</f>
        <v/>
      </c>
      <c r="B38" s="9">
        <f>CONCATENATE("0x",DEC2HEX(C38,4))</f>
        <v/>
      </c>
      <c r="C38" s="10">
        <f>A38</f>
        <v/>
      </c>
      <c r="D38" s="128" t="n"/>
      <c r="E38" s="31" t="inlineStr">
        <is>
          <t>SN6</t>
        </is>
      </c>
      <c r="F38" s="129" t="n"/>
      <c r="G38" s="31" t="n">
        <v>0</v>
      </c>
      <c r="H38" s="15" t="n"/>
      <c r="I38" s="16" t="n"/>
      <c r="J38" s="16" t="n"/>
      <c r="K38" s="48" t="n"/>
      <c r="L38" s="13" t="n"/>
      <c r="M38" s="5" t="n"/>
      <c r="N38" s="5" t="n"/>
      <c r="O38" s="7" t="n"/>
    </row>
    <row r="39" ht="18.04511278195489" customHeight="1">
      <c r="A39" s="8">
        <f>A38+1</f>
        <v/>
      </c>
      <c r="B39" s="9">
        <f>CONCATENATE("0x",DEC2HEX(C39,4))</f>
        <v/>
      </c>
      <c r="C39" s="10">
        <f>A39</f>
        <v/>
      </c>
      <c r="D39" s="128" t="n"/>
      <c r="E39" s="31" t="inlineStr">
        <is>
          <t>SN7</t>
        </is>
      </c>
      <c r="F39" s="129" t="n"/>
      <c r="G39" s="31" t="n">
        <v>0</v>
      </c>
      <c r="H39" s="15" t="n"/>
      <c r="I39" s="16" t="n"/>
      <c r="J39" s="16" t="n"/>
      <c r="K39" s="48" t="n"/>
      <c r="L39" s="13" t="n"/>
      <c r="M39" s="5" t="n"/>
      <c r="N39" s="5" t="n"/>
      <c r="O39" s="7" t="n"/>
    </row>
    <row r="40" ht="18.04511278195489" customHeight="1">
      <c r="A40" s="8">
        <f>A39+1</f>
        <v/>
      </c>
      <c r="B40" s="9">
        <f>CONCATENATE("0x",DEC2HEX(C40,4))</f>
        <v/>
      </c>
      <c r="C40" s="10">
        <f>A40</f>
        <v/>
      </c>
      <c r="D40" s="128" t="n"/>
      <c r="E40" s="31" t="inlineStr">
        <is>
          <t>SN8</t>
        </is>
      </c>
      <c r="F40" s="129" t="n"/>
      <c r="G40" s="31" t="n">
        <v>0</v>
      </c>
      <c r="H40" s="15" t="n"/>
      <c r="I40" s="16" t="n"/>
      <c r="J40" s="16" t="n"/>
      <c r="K40" s="48" t="n"/>
      <c r="L40" s="13" t="n"/>
      <c r="M40" s="5" t="n"/>
      <c r="N40" s="5" t="n"/>
      <c r="O40" s="7" t="n"/>
    </row>
    <row r="41" ht="18.04511278195489" customHeight="1">
      <c r="A41" s="8">
        <f>A40+1</f>
        <v/>
      </c>
      <c r="B41" s="9">
        <f>CONCATENATE("0x",DEC2HEX(C41,4))</f>
        <v/>
      </c>
      <c r="C41" s="10">
        <f>A41</f>
        <v/>
      </c>
      <c r="D41" s="128" t="n"/>
      <c r="E41" s="31" t="inlineStr">
        <is>
          <t>SN9</t>
        </is>
      </c>
      <c r="F41" s="129" t="n"/>
      <c r="G41" s="31" t="n">
        <v>0</v>
      </c>
      <c r="H41" s="15" t="n"/>
      <c r="I41" s="16" t="n"/>
      <c r="J41" s="16" t="n"/>
      <c r="K41" s="48" t="n"/>
      <c r="L41" s="13" t="n"/>
      <c r="M41" s="5" t="n"/>
      <c r="N41" s="5" t="n"/>
      <c r="O41" s="7" t="n"/>
    </row>
    <row r="42" ht="18.04511278195489" customHeight="1">
      <c r="A42" s="8">
        <f>A41+1</f>
        <v/>
      </c>
      <c r="B42" s="9">
        <f>CONCATENATE("0x",DEC2HEX(C42,4))</f>
        <v/>
      </c>
      <c r="C42" s="10">
        <f>A42</f>
        <v/>
      </c>
      <c r="D42" s="128" t="n"/>
      <c r="E42" s="31" t="inlineStr">
        <is>
          <t>SN10</t>
        </is>
      </c>
      <c r="F42" s="129" t="n"/>
      <c r="G42" s="31" t="n">
        <v>0</v>
      </c>
      <c r="H42" s="15" t="n"/>
      <c r="I42" s="16" t="n"/>
      <c r="J42" s="16" t="n"/>
      <c r="K42" s="48" t="n"/>
      <c r="L42" s="13" t="n"/>
      <c r="M42" s="5" t="n"/>
      <c r="N42" s="5" t="n"/>
      <c r="O42" s="7" t="n"/>
    </row>
    <row r="43" ht="18.04511278195489" customHeight="1">
      <c r="A43" s="8">
        <f>A42+1</f>
        <v/>
      </c>
      <c r="B43" s="9">
        <f>CONCATENATE("0x",DEC2HEX(C43,4))</f>
        <v/>
      </c>
      <c r="C43" s="10">
        <f>A43</f>
        <v/>
      </c>
      <c r="D43" s="128" t="n"/>
      <c r="E43" s="31" t="inlineStr">
        <is>
          <t>SN11</t>
        </is>
      </c>
      <c r="F43" s="129" t="n"/>
      <c r="G43" s="31" t="n">
        <v>0</v>
      </c>
      <c r="H43" s="15" t="n"/>
      <c r="I43" s="16" t="n"/>
      <c r="J43" s="16" t="n"/>
      <c r="K43" s="48" t="n"/>
      <c r="L43" s="13" t="n"/>
      <c r="M43" s="5" t="n"/>
      <c r="N43" s="5" t="n"/>
      <c r="O43" s="7" t="n"/>
    </row>
    <row r="44" ht="18.04511278195489" customHeight="1">
      <c r="A44" s="8">
        <f>A43+1</f>
        <v/>
      </c>
      <c r="B44" s="9">
        <f>CONCATENATE("0x",DEC2HEX(C44,4))</f>
        <v/>
      </c>
      <c r="C44" s="10">
        <f>A44</f>
        <v/>
      </c>
      <c r="D44" s="128" t="n"/>
      <c r="E44" s="31" t="inlineStr">
        <is>
          <t>SN12</t>
        </is>
      </c>
      <c r="F44" s="129" t="n"/>
      <c r="G44" s="31" t="n">
        <v>0</v>
      </c>
      <c r="H44" s="15" t="n"/>
      <c r="I44" s="16" t="n"/>
      <c r="J44" s="16" t="n"/>
      <c r="K44" s="48" t="n"/>
      <c r="L44" s="13" t="n"/>
      <c r="M44" s="5" t="n"/>
      <c r="N44" s="5" t="n"/>
      <c r="O44" s="7" t="n"/>
    </row>
    <row r="45" ht="18.04511278195489" customHeight="1">
      <c r="A45" s="8">
        <f>A44+1</f>
        <v/>
      </c>
      <c r="B45" s="9">
        <f>CONCATENATE("0x",DEC2HEX(C45,4))</f>
        <v/>
      </c>
      <c r="C45" s="10">
        <f>A45</f>
        <v/>
      </c>
      <c r="D45" s="128" t="n"/>
      <c r="E45" s="31" t="inlineStr">
        <is>
          <t>SN13</t>
        </is>
      </c>
      <c r="F45" s="129" t="n"/>
      <c r="G45" s="31" t="n">
        <v>0</v>
      </c>
      <c r="H45" s="15" t="n"/>
      <c r="I45" s="16" t="n"/>
      <c r="J45" s="16" t="n"/>
      <c r="K45" s="48" t="n"/>
      <c r="L45" s="13" t="n"/>
      <c r="M45" s="5" t="n"/>
      <c r="N45" s="5" t="n"/>
      <c r="O45" s="7" t="n"/>
    </row>
    <row r="46" ht="18.04511278195489" customHeight="1">
      <c r="A46" s="8">
        <f>A45+1</f>
        <v/>
      </c>
      <c r="B46" s="9">
        <f>CONCATENATE("0x",DEC2HEX(C46,4))</f>
        <v/>
      </c>
      <c r="C46" s="10">
        <f>A46</f>
        <v/>
      </c>
      <c r="D46" s="128" t="n"/>
      <c r="E46" s="31" t="inlineStr">
        <is>
          <t>SN14</t>
        </is>
      </c>
      <c r="F46" s="129" t="n"/>
      <c r="G46" s="31">
        <f>IF(LEN(K46)&gt;1,CODE(MID(K46,1,1))*256+CODE(MID(K46,2,1)),IF(LEN(K46)&gt;0,CODE(MID(K46,1,1)),0))</f>
        <v/>
      </c>
      <c r="H46" s="15" t="n"/>
      <c r="I46" s="16" t="n"/>
      <c r="J46" s="16" t="n"/>
      <c r="K46" s="17">
        <f>IF(LEN($L$34)&gt;1,CONCATENATE(MID($L$34,28,1),MID($L$34,27,1)),IF(LEN($L$34)&gt;0,MID($L$34,27,1),""))</f>
        <v/>
      </c>
      <c r="L46" s="13" t="n"/>
      <c r="M46" s="5" t="n"/>
      <c r="N46" s="5" t="n"/>
      <c r="O46" s="7" t="n"/>
    </row>
    <row r="47" ht="18.04511278195489" customHeight="1">
      <c r="A47" s="8">
        <f>A46+1</f>
        <v/>
      </c>
      <c r="B47" s="9">
        <f>CONCATENATE("0x",DEC2HEX(C47,4))</f>
        <v/>
      </c>
      <c r="C47" s="10">
        <f>A47</f>
        <v/>
      </c>
      <c r="D47" s="128" t="n"/>
      <c r="E47" s="31" t="inlineStr">
        <is>
          <t>SN15</t>
        </is>
      </c>
      <c r="F47" s="129" t="n"/>
      <c r="G47" s="31">
        <f>IF(LEN(K47)&gt;1,CODE(MID(K47,1,1))*256+CODE(MID(K47,2,1)),IF(LEN(K47)&gt;0,CODE(MID(K47,1,1)),0))</f>
        <v/>
      </c>
      <c r="H47" s="15" t="n"/>
      <c r="I47" s="16" t="n"/>
      <c r="J47" s="16" t="n"/>
      <c r="K47" s="17">
        <f>IF(LEN($L$34)&gt;1,CONCATENATE(MID($L$34,30,1),MID($L$34,29,1)),IF(LEN($L$34)&gt;0,MID($L$34,29,1),""))</f>
        <v/>
      </c>
      <c r="L47" s="13" t="n"/>
      <c r="M47" s="5" t="n"/>
      <c r="N47" s="5" t="n"/>
      <c r="O47" s="7" t="n"/>
    </row>
    <row r="48" ht="18.04511278195489" customHeight="1">
      <c r="A48" s="8">
        <f>A47+1</f>
        <v/>
      </c>
      <c r="B48" s="9">
        <f>CONCATENATE("0x",DEC2HEX(C48,4))</f>
        <v/>
      </c>
      <c r="C48" s="10">
        <f>A48</f>
        <v/>
      </c>
      <c r="D48" s="128" t="n"/>
      <c r="E48" s="31" t="inlineStr">
        <is>
          <t>SN16</t>
        </is>
      </c>
      <c r="F48" s="129" t="n"/>
      <c r="G48" s="31">
        <f>IF(LEN(K48)&gt;1,CODE(MID(K48,1,1))*256+CODE(MID(K48,2,1)),IF(LEN(K48)&gt;0,CODE(MID(K48,1,1)),0))</f>
        <v/>
      </c>
      <c r="H48" s="15" t="n"/>
      <c r="I48" s="16" t="n"/>
      <c r="J48" s="16" t="n"/>
      <c r="K48" s="17">
        <f>IF(LEN($L$34)&gt;1,CONCATENATE(MID($L$34,32,1),MID($L$34,31,1)),IF(LEN($L$34)&gt;0,MID($L$34,31,1),""))</f>
        <v/>
      </c>
      <c r="L48" s="13" t="n"/>
      <c r="M48" s="5" t="n"/>
      <c r="N48" s="5" t="n"/>
      <c r="O48" s="7" t="n"/>
    </row>
    <row r="49" ht="18.04511278195489" customHeight="1">
      <c r="A49" s="8">
        <f>A48+1</f>
        <v/>
      </c>
      <c r="B49" s="9">
        <f>CONCATENATE("0x",DEC2HEX(C49,4))</f>
        <v/>
      </c>
      <c r="C49" s="10">
        <f>A49</f>
        <v/>
      </c>
      <c r="D49" s="128" t="n"/>
      <c r="E49" s="31" t="inlineStr">
        <is>
          <t>SN17</t>
        </is>
      </c>
      <c r="F49" s="129" t="n"/>
      <c r="G49" s="31">
        <f>IF(LEN(K49)&gt;1,CODE(MID(K49,1,1))*256+CODE(MID(K49,2,1)),IF(LEN(K49)&gt;0,CODE(MID(K49,1,1)),0))</f>
        <v/>
      </c>
      <c r="H49" s="15" t="n"/>
      <c r="I49" s="16" t="n"/>
      <c r="J49" s="16" t="n"/>
      <c r="K49" s="17">
        <f>IF(LEN($L$34)&gt;1,CONCATENATE(MID($L$34,34,1),MID($L$34,33,1)),IF(LEN($L$34)&gt;0,MID($L$34,33,1),""))</f>
        <v/>
      </c>
      <c r="L49" s="13" t="n"/>
      <c r="M49" s="5" t="n"/>
      <c r="N49" s="5" t="n"/>
      <c r="O49" s="7" t="n"/>
    </row>
    <row r="50" ht="18.04511278195489" customHeight="1">
      <c r="A50" s="8">
        <f>A49+1</f>
        <v/>
      </c>
      <c r="B50" s="9">
        <f>CONCATENATE("0x",DEC2HEX(C50,4))</f>
        <v/>
      </c>
      <c r="C50" s="10">
        <f>A50</f>
        <v/>
      </c>
      <c r="D50" s="128" t="n"/>
      <c r="E50" s="31" t="inlineStr">
        <is>
          <t>SN18</t>
        </is>
      </c>
      <c r="F50" s="129" t="n"/>
      <c r="G50" s="31">
        <f>IF(LEN(K50)&gt;1,CODE(MID(K50,1,1))*256+CODE(MID(K50,2,1)),IF(LEN(K50)&gt;0,CODE(MID(K50,1,1)),0))</f>
        <v/>
      </c>
      <c r="H50" s="15" t="n"/>
      <c r="I50" s="16" t="n"/>
      <c r="J50" s="16" t="n"/>
      <c r="K50" s="17">
        <f>IF(LEN($L$34)&gt;1,CONCATENATE(MID($L$34,36,1),MID($L$34,35,1)),IF(LEN($L$34)&gt;0,MID($L$34,35,1),""))</f>
        <v/>
      </c>
      <c r="L50" s="13" t="n"/>
      <c r="M50" s="5" t="n"/>
      <c r="N50" s="5" t="n"/>
      <c r="O50" s="7" t="n"/>
    </row>
    <row r="51" ht="18.04511278195489" customHeight="1">
      <c r="A51" s="8">
        <f>A50+1</f>
        <v/>
      </c>
      <c r="B51" s="9">
        <f>CONCATENATE("0x",DEC2HEX(C51,4))</f>
        <v/>
      </c>
      <c r="C51" s="10">
        <f>A51</f>
        <v/>
      </c>
      <c r="D51" s="128" t="n"/>
      <c r="E51" s="31" t="inlineStr">
        <is>
          <t>SN19</t>
        </is>
      </c>
      <c r="F51" s="129" t="n"/>
      <c r="G51" s="31">
        <f>IF(LEN(K51)&gt;1,CODE(MID(K51,1,1))*256+CODE(MID(K51,2,1)),IF(LEN(K51)&gt;0,CODE(MID(K51,1,1)),0))</f>
        <v/>
      </c>
      <c r="H51" s="15" t="n"/>
      <c r="I51" s="16" t="n"/>
      <c r="J51" s="16" t="n"/>
      <c r="K51" s="17">
        <f>IF(LEN($L$34)&gt;1,CONCATENATE(MID($L$34,38,1),MID($L$34,37,1)),IF(LEN($L$34)&gt;0,MID($L$34,37,1),""))</f>
        <v/>
      </c>
      <c r="L51" s="13" t="n"/>
      <c r="M51" s="5" t="n"/>
      <c r="N51" s="5" t="n"/>
      <c r="O51" s="7" t="n"/>
    </row>
    <row r="52" ht="18.04511278195489" customHeight="1">
      <c r="A52" s="8">
        <f>A51+1</f>
        <v/>
      </c>
      <c r="B52" s="9">
        <f>CONCATENATE("0x",DEC2HEX(C52,4))</f>
        <v/>
      </c>
      <c r="C52" s="10">
        <f>A52</f>
        <v/>
      </c>
      <c r="D52" s="128" t="n"/>
      <c r="E52" s="31" t="inlineStr">
        <is>
          <t>SN20</t>
        </is>
      </c>
      <c r="F52" s="129" t="n"/>
      <c r="G52" s="31">
        <f>IF(LEN(K52)&gt;1,CODE(MID(K52,1,1))*256+CODE(MID(K52,2,1)),IF(LEN(K52)&gt;0,CODE(MID(K52,1,1)),0))</f>
        <v/>
      </c>
      <c r="H52" s="15" t="n"/>
      <c r="I52" s="16" t="n"/>
      <c r="J52" s="16" t="n"/>
      <c r="K52" s="17">
        <f>IF(LEN($L$34)&gt;1,CONCATENATE(MID($L$34,40,1),MID($L$34,39,1)),IF(LEN($L$34)&gt;0,MID($L$34,39,1),""))</f>
        <v/>
      </c>
      <c r="L52" s="13" t="n"/>
      <c r="M52" s="5" t="n"/>
      <c r="N52" s="5" t="n"/>
      <c r="O52" s="7" t="n"/>
    </row>
    <row r="53" ht="18.04511278195489" customHeight="1">
      <c r="A53" s="8">
        <f>A52+1</f>
        <v/>
      </c>
      <c r="B53" s="9">
        <f>CONCATENATE("0x",DEC2HEX(C53,4))</f>
        <v/>
      </c>
      <c r="C53" s="10">
        <f>A53</f>
        <v/>
      </c>
      <c r="D53" s="128" t="n"/>
      <c r="E53" s="31" t="inlineStr">
        <is>
          <t>SN21</t>
        </is>
      </c>
      <c r="F53" s="129" t="n"/>
      <c r="G53" s="31">
        <f>IF(LEN(K53)&gt;1,CODE(MID(K53,1,1))*256+CODE(MID(K53,2,1)),IF(LEN(K53)&gt;0,CODE(MID(K53,1,1)),0))</f>
        <v/>
      </c>
      <c r="H53" s="15" t="n"/>
      <c r="I53" s="16" t="n"/>
      <c r="J53" s="16" t="n"/>
      <c r="K53" s="17">
        <f>IF(LEN($L$34)&gt;1,CONCATENATE(MID($L$34,42,1),MID($L$34,41,1)),IF(LEN($L$34)&gt;0,MID($L$34,41,1),""))</f>
        <v/>
      </c>
      <c r="L53" s="13" t="n"/>
      <c r="M53" s="5" t="n"/>
      <c r="N53" s="5" t="n"/>
      <c r="O53" s="7" t="n"/>
    </row>
    <row r="54" ht="18.04511278195489" customHeight="1">
      <c r="A54" s="8">
        <f>A53+1</f>
        <v/>
      </c>
      <c r="B54" s="9">
        <f>CONCATENATE("0x",DEC2HEX(C54,4))</f>
        <v/>
      </c>
      <c r="C54" s="10">
        <f>A54</f>
        <v/>
      </c>
      <c r="D54" s="128" t="n"/>
      <c r="E54" s="31" t="inlineStr">
        <is>
          <t>SN22</t>
        </is>
      </c>
      <c r="F54" s="129" t="n"/>
      <c r="G54" s="31">
        <f>IF(LEN(K54)&gt;1,CODE(MID(K54,1,1))*256+CODE(MID(K54,2,1)),IF(LEN(K54)&gt;0,CODE(MID(K54,1,1)),0))</f>
        <v/>
      </c>
      <c r="H54" s="15" t="n"/>
      <c r="I54" s="16" t="n"/>
      <c r="J54" s="16" t="n"/>
      <c r="K54" s="17">
        <f>IF(LEN($L$34)&gt;1,CONCATENATE(MID($L$34,44,1),MID($L$34,43,1)),IF(LEN($L$34)&gt;0,MID($L$34,43,1),""))</f>
        <v/>
      </c>
      <c r="L54" s="13" t="n"/>
      <c r="M54" s="5" t="n"/>
      <c r="N54" s="5" t="n"/>
      <c r="O54" s="7" t="n"/>
    </row>
    <row r="55" ht="18.04511278195489" customHeight="1">
      <c r="A55" s="8">
        <f>A54+1</f>
        <v/>
      </c>
      <c r="B55" s="9">
        <f>CONCATENATE("0x",DEC2HEX(C55,4))</f>
        <v/>
      </c>
      <c r="C55" s="10">
        <f>A55</f>
        <v/>
      </c>
      <c r="D55" s="128" t="n"/>
      <c r="E55" s="31" t="inlineStr">
        <is>
          <t>SN23</t>
        </is>
      </c>
      <c r="F55" s="129" t="n"/>
      <c r="G55" s="31">
        <f>IF(LEN(K55)&gt;1,CODE(MID(K55,1,1))*256+CODE(MID(K55,2,1)),IF(LEN(K55)&gt;0,CODE(MID(K55,1,1)),0))</f>
        <v/>
      </c>
      <c r="H55" s="15" t="n"/>
      <c r="I55" s="16" t="n"/>
      <c r="J55" s="16" t="n"/>
      <c r="K55" s="17">
        <f>IF(LEN($L$34)&gt;1,CONCATENATE(MID($L$34,46,1),MID($L$34,45,1)),IF(LEN($L$34)&gt;0,MID($L$34,45,1),""))</f>
        <v/>
      </c>
      <c r="L55" s="13" t="n"/>
      <c r="M55" s="5" t="n"/>
      <c r="N55" s="5" t="n"/>
      <c r="O55" s="7" t="n"/>
    </row>
    <row r="56" ht="18.04511278195489" customHeight="1">
      <c r="A56" s="8">
        <f>A55+1</f>
        <v/>
      </c>
      <c r="B56" s="9">
        <f>CONCATENATE("0x",DEC2HEX(C56,4))</f>
        <v/>
      </c>
      <c r="C56" s="10">
        <f>A56</f>
        <v/>
      </c>
      <c r="D56" s="128" t="n"/>
      <c r="E56" s="31" t="inlineStr">
        <is>
          <t>SN24</t>
        </is>
      </c>
      <c r="F56" s="129" t="n"/>
      <c r="G56" s="31">
        <f>IF(LEN(K56)&gt;1,CODE(MID(K56,1,1))*256+CODE(MID(K56,2,1)),IF(LEN(K56)&gt;0,CODE(MID(K56,1,1)),0))</f>
        <v/>
      </c>
      <c r="H56" s="15" t="n"/>
      <c r="I56" s="16" t="n"/>
      <c r="J56" s="16" t="n"/>
      <c r="K56" s="17">
        <f>IF(LEN($L$34)&gt;1,CONCATENATE(MID($L$34,48,1),MID($L$34,47,1)),IF(LEN($L$34)&gt;0,MID($L$34,47,1),""))</f>
        <v/>
      </c>
      <c r="L56" s="13" t="n"/>
      <c r="M56" s="5" t="n"/>
      <c r="N56" s="5" t="n"/>
      <c r="O56" s="7" t="n"/>
    </row>
    <row r="57" ht="18.04511278195489" customHeight="1">
      <c r="A57" s="8">
        <f>A56+1</f>
        <v/>
      </c>
      <c r="B57" s="9">
        <f>CONCATENATE("0x",DEC2HEX(C57,4))</f>
        <v/>
      </c>
      <c r="C57" s="10">
        <f>A57</f>
        <v/>
      </c>
      <c r="D57" s="128" t="n"/>
      <c r="E57" s="31" t="inlineStr">
        <is>
          <t>SN25</t>
        </is>
      </c>
      <c r="F57" s="129" t="n"/>
      <c r="G57" s="31">
        <f>IF(LEN(K57)&gt;1,CODE(MID(K57,1,1))*256+CODE(MID(K57,2,1)),IF(LEN(K57)&gt;0,CODE(MID(K57,1,1)),0))</f>
        <v/>
      </c>
      <c r="H57" s="15" t="n"/>
      <c r="I57" s="16" t="n"/>
      <c r="J57" s="16" t="n"/>
      <c r="K57" s="17">
        <f>IF(LEN($L$34)&gt;1,CONCATENATE(MID($L$34,50,1),MID($L$34,49,1)),IF(LEN($L$34)&gt;0,MID($L$34,49,1),""))</f>
        <v/>
      </c>
      <c r="L57" s="13" t="n"/>
      <c r="M57" s="5" t="n"/>
      <c r="N57" s="5" t="n"/>
      <c r="O57" s="7" t="n"/>
    </row>
    <row r="58" ht="18.04511278195489" customHeight="1">
      <c r="A58" s="8">
        <f>A57+1</f>
        <v/>
      </c>
      <c r="B58" s="9">
        <f>CONCATENATE("0x",DEC2HEX(C58,4))</f>
        <v/>
      </c>
      <c r="C58" s="10">
        <f>A58</f>
        <v/>
      </c>
      <c r="D58" s="128" t="n"/>
      <c r="E58" s="31" t="inlineStr">
        <is>
          <t>SN26</t>
        </is>
      </c>
      <c r="F58" s="129" t="n"/>
      <c r="G58" s="31">
        <f>IF(LEN(K58)&gt;1,CODE(MID(K58,1,1))*256+CODE(MID(K58,2,1)),IF(LEN(K58)&gt;0,CODE(MID(K58,1,1)),0))</f>
        <v/>
      </c>
      <c r="H58" s="15" t="n"/>
      <c r="I58" s="16" t="n"/>
      <c r="J58" s="16" t="n"/>
      <c r="K58" s="17">
        <f>IF(LEN($L$34)&gt;1,CONCATENATE(MID($L$34,52,1),MID($L$34,51,1)),IF(LEN($L$34)&gt;0,MID($L$34,51,1),""))</f>
        <v/>
      </c>
      <c r="L58" s="13" t="n"/>
      <c r="M58" s="5" t="n"/>
      <c r="N58" s="5" t="n"/>
      <c r="O58" s="7" t="n"/>
    </row>
    <row r="59" ht="18.04511278195489" customHeight="1">
      <c r="A59" s="8">
        <f>A58+1</f>
        <v/>
      </c>
      <c r="B59" s="9">
        <f>CONCATENATE("0x",DEC2HEX(C59,4))</f>
        <v/>
      </c>
      <c r="C59" s="10">
        <f>A59</f>
        <v/>
      </c>
      <c r="D59" s="128" t="n"/>
      <c r="E59" s="31" t="inlineStr">
        <is>
          <t>SN27</t>
        </is>
      </c>
      <c r="F59" s="129" t="n"/>
      <c r="G59" s="31">
        <f>IF(LEN(K59)&gt;1,CODE(MID(K59,1,1))*256+CODE(MID(K59,2,1)),IF(LEN(K59)&gt;0,CODE(MID(K59,1,1)),0))</f>
        <v/>
      </c>
      <c r="H59" s="15" t="n"/>
      <c r="I59" s="16" t="n"/>
      <c r="J59" s="16" t="n"/>
      <c r="K59" s="17">
        <f>IF(LEN($L$34)&gt;1,CONCATENATE(MID($L$34,54,1),MID($L$34,53,1)),IF(LEN($L$34)&gt;0,MID($L$34,53,1),""))</f>
        <v/>
      </c>
      <c r="L59" s="13" t="n"/>
      <c r="M59" s="5" t="n"/>
      <c r="N59" s="5" t="n"/>
      <c r="O59" s="7" t="n"/>
    </row>
    <row r="60" ht="18.04511278195489" customHeight="1">
      <c r="A60" s="8">
        <f>A59+1</f>
        <v/>
      </c>
      <c r="B60" s="9">
        <f>CONCATENATE("0x",DEC2HEX(C60,4))</f>
        <v/>
      </c>
      <c r="C60" s="10">
        <f>A60</f>
        <v/>
      </c>
      <c r="D60" s="128" t="n"/>
      <c r="E60" s="31" t="inlineStr">
        <is>
          <t>SN28</t>
        </is>
      </c>
      <c r="F60" s="129" t="n"/>
      <c r="G60" s="31">
        <f>IF(LEN(K60)&gt;1,CODE(MID(K60,1,1))*256+CODE(MID(K60,2,1)),IF(LEN(K60)&gt;0,CODE(MID(K60,1,1)),0))</f>
        <v/>
      </c>
      <c r="H60" s="15" t="n"/>
      <c r="I60" s="16" t="n"/>
      <c r="J60" s="16" t="n"/>
      <c r="K60" s="17">
        <f>IF(LEN($L$34)&gt;1,CONCATENATE(MID($L$34,56,1),MID($L$34,55,1)),IF(LEN($L$34)&gt;0,MID($L$34,55,1),""))</f>
        <v/>
      </c>
      <c r="L60" s="13" t="n"/>
      <c r="M60" s="5" t="n"/>
      <c r="N60" s="5" t="n"/>
      <c r="O60" s="7" t="n"/>
    </row>
    <row r="61" ht="18.04511278195489" customHeight="1">
      <c r="A61" s="8">
        <f>A60+1</f>
        <v/>
      </c>
      <c r="B61" s="9">
        <f>CONCATENATE("0x",DEC2HEX(C61,4))</f>
        <v/>
      </c>
      <c r="C61" s="10">
        <f>A61</f>
        <v/>
      </c>
      <c r="D61" s="128" t="n"/>
      <c r="E61" s="31" t="inlineStr">
        <is>
          <t>SN29</t>
        </is>
      </c>
      <c r="F61" s="129" t="n"/>
      <c r="G61" s="31">
        <f>IF(LEN(K61)&gt;1,CODE(MID(K61,1,1))*256+CODE(MID(K61,2,1)),IF(LEN(K61)&gt;0,CODE(MID(K61,1,1)),0))</f>
        <v/>
      </c>
      <c r="H61" s="15" t="n"/>
      <c r="I61" s="16" t="n"/>
      <c r="J61" s="16" t="n"/>
      <c r="K61" s="17">
        <f>IF(LEN($L$34)&gt;1,CONCATENATE(MID($L$34,58,1),MID($L$34,57,1)),IF(LEN($L$34)&gt;0,MID($L$34,57,1),""))</f>
        <v/>
      </c>
      <c r="L61" s="13" t="n"/>
      <c r="M61" s="5" t="n"/>
      <c r="N61" s="5" t="n"/>
      <c r="O61" s="7" t="n"/>
    </row>
    <row r="62" ht="18.04511278195489" customHeight="1">
      <c r="A62" s="8">
        <f>A61+1</f>
        <v/>
      </c>
      <c r="B62" s="9">
        <f>CONCATENATE("0x",DEC2HEX(C62,4))</f>
        <v/>
      </c>
      <c r="C62" s="10">
        <f>A62</f>
        <v/>
      </c>
      <c r="D62" s="128" t="n"/>
      <c r="E62" s="31" t="inlineStr">
        <is>
          <t>SN30</t>
        </is>
      </c>
      <c r="F62" s="129" t="n"/>
      <c r="G62" s="31">
        <f>IF(LEN(K62)&gt;1,CODE(MID(K62,1,1))*256+CODE(MID(K62,2,1)),IF(LEN(K62)&gt;0,CODE(MID(K62,1,1)),0))</f>
        <v/>
      </c>
      <c r="H62" s="15" t="n"/>
      <c r="I62" s="16" t="n"/>
      <c r="J62" s="16" t="n"/>
      <c r="K62" s="17">
        <f>IF(LEN($L$34)&gt;1,CONCATENATE(MID($L$34,60,1),MID($L$34,59,1)),IF(LEN($L$34)&gt;0,MID($L$34,59,1),""))</f>
        <v/>
      </c>
      <c r="L62" s="13" t="n"/>
      <c r="M62" s="5" t="n"/>
      <c r="N62" s="5" t="n"/>
      <c r="O62" s="7" t="n"/>
    </row>
    <row r="63" ht="18.04511278195489" customHeight="1">
      <c r="A63" s="8">
        <f>A62+1</f>
        <v/>
      </c>
      <c r="B63" s="9">
        <f>CONCATENATE("0x",DEC2HEX(C63,4))</f>
        <v/>
      </c>
      <c r="C63" s="10">
        <f>A63</f>
        <v/>
      </c>
      <c r="D63" s="128" t="n"/>
      <c r="E63" s="31" t="inlineStr">
        <is>
          <t>SN31</t>
        </is>
      </c>
      <c r="F63" s="129" t="n"/>
      <c r="G63" s="31">
        <f>IF(LEN(K63)&gt;1,CODE(MID(K63,1,1))*256+CODE(MID(K63,2,1)),IF(LEN(K63)&gt;0,CODE(MID(K63,1,1)),0))</f>
        <v/>
      </c>
      <c r="H63" s="15" t="n"/>
      <c r="I63" s="16" t="n"/>
      <c r="J63" s="16" t="n"/>
      <c r="K63" s="17">
        <f>IF(LEN($L$34)&gt;1,CONCATENATE(MID($L$34,62,1),MID($L$34,61,1)),IF(LEN($L$34)&gt;0,MID($L$34,61,1),""))</f>
        <v/>
      </c>
      <c r="L63" s="13" t="n"/>
      <c r="M63" s="5" t="n"/>
      <c r="N63" s="5" t="n"/>
      <c r="O63" s="7" t="n"/>
    </row>
    <row r="64" ht="18.04511278195489" customHeight="1">
      <c r="A64" s="8">
        <f>A63+1</f>
        <v/>
      </c>
      <c r="B64" s="9">
        <f>CONCATENATE("0x",DEC2HEX(C64,4))</f>
        <v/>
      </c>
      <c r="C64" s="10">
        <f>A64</f>
        <v/>
      </c>
      <c r="D64" s="123" t="n"/>
      <c r="E64" s="31" t="inlineStr">
        <is>
          <t>SN32</t>
        </is>
      </c>
      <c r="F64" s="129" t="n"/>
      <c r="G64" s="31">
        <f>IF(LEN(K64)&gt;1,CODE(MID(K64,1,1))*256+CODE(MID(K64,2,1)),IF(LEN(K64)&gt;0,CODE(MID(K64,1,1)),0))</f>
        <v/>
      </c>
      <c r="H64" s="15" t="n"/>
      <c r="I64" s="16" t="n"/>
      <c r="J64" s="16" t="n"/>
      <c r="K64" s="17">
        <f>IF(LEN($L$34)&gt;1,CONCATENATE(MID($L$34,64,1),MID($L$34,63,1)),IF(LEN($L$34)&gt;0,MID($L$34,63,1),""))</f>
        <v/>
      </c>
      <c r="L64" s="13" t="n"/>
      <c r="M64" s="5" t="n"/>
      <c r="N64" s="5" t="n"/>
      <c r="O64" s="7" t="n"/>
    </row>
    <row r="65" ht="18.04511278195489" customHeight="1">
      <c r="A65" s="49" t="n"/>
      <c r="B65" s="49" t="n"/>
      <c r="C65" s="49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7" t="n"/>
    </row>
  </sheetData>
  <mergeCells count="47">
    <mergeCell ref="E43:F43"/>
    <mergeCell ref="E50:F50"/>
    <mergeCell ref="E55:F55"/>
    <mergeCell ref="E62:F62"/>
    <mergeCell ref="E33:F33"/>
    <mergeCell ref="E42:F42"/>
    <mergeCell ref="E52:F52"/>
    <mergeCell ref="E48:F48"/>
    <mergeCell ref="E39:F39"/>
    <mergeCell ref="E64:F64"/>
    <mergeCell ref="E44:F44"/>
    <mergeCell ref="D1:F2"/>
    <mergeCell ref="E35:F35"/>
    <mergeCell ref="E51:F51"/>
    <mergeCell ref="D30:D32"/>
    <mergeCell ref="E38:F38"/>
    <mergeCell ref="D6:D13"/>
    <mergeCell ref="E63:F63"/>
    <mergeCell ref="D14:D18"/>
    <mergeCell ref="D19:D21"/>
    <mergeCell ref="E60:F60"/>
    <mergeCell ref="H1:K1"/>
    <mergeCell ref="B1:C1"/>
    <mergeCell ref="L1:L2"/>
    <mergeCell ref="E40:F40"/>
    <mergeCell ref="E56:F56"/>
    <mergeCell ref="E34:F34"/>
    <mergeCell ref="D22:D24"/>
    <mergeCell ref="E59:F59"/>
    <mergeCell ref="E46:F46"/>
    <mergeCell ref="E49:F49"/>
    <mergeCell ref="D25:D26"/>
    <mergeCell ref="E45:F45"/>
    <mergeCell ref="E36:F36"/>
    <mergeCell ref="G1:G2"/>
    <mergeCell ref="E61:F61"/>
    <mergeCell ref="D27:D29"/>
    <mergeCell ref="E57:F57"/>
    <mergeCell ref="E54:F54"/>
    <mergeCell ref="E41:F41"/>
    <mergeCell ref="E37:F37"/>
    <mergeCell ref="E53:F53"/>
    <mergeCell ref="D3:D5"/>
    <mergeCell ref="E58:F58"/>
    <mergeCell ref="D33:D64"/>
    <mergeCell ref="E47:F47"/>
    <mergeCell ref="A1:A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Row="0"/>
  <cols>
    <col width="7.0916015625" customWidth="1" min="1" max="1"/>
    <col width="10.64" customWidth="1" min="2" max="2"/>
    <col width="9.528203125000001" customWidth="1" min="3" max="3"/>
    <col width="25.0466015625" customWidth="1" min="4" max="4"/>
    <col width="12.853203125" customWidth="1" min="5" max="5"/>
    <col width="6.203203125" customWidth="1" min="6" max="6"/>
    <col width="9.528203125000001" customWidth="1" min="7" max="7"/>
    <col width="11.523203125" customWidth="1" min="8" max="8"/>
    <col width="7.98" customWidth="1" min="9" max="10"/>
    <col width="10.4166015625" customWidth="1" min="11" max="11"/>
    <col width="34.58" customWidth="1" min="12" max="12"/>
    <col width="9.528203125000001" customWidth="1" min="13" max="13"/>
    <col width="5.32" customWidth="1" min="14" max="14"/>
    <col width="13.518203125" customWidth="1" min="15" max="15"/>
    <col width="19.95" customWidth="1" min="16" max="20"/>
  </cols>
  <sheetData>
    <row r="1" ht="18.04511278195489" customHeight="1">
      <c r="A1" s="50" t="inlineStr">
        <is>
          <t>序号</t>
        </is>
      </c>
      <c r="B1" s="2" t="inlineStr">
        <is>
          <t>参数地址</t>
        </is>
      </c>
      <c r="C1" s="119" t="n"/>
      <c r="D1" s="3" t="inlineStr">
        <is>
          <t>参数名称</t>
        </is>
      </c>
      <c r="E1" s="120" t="n"/>
      <c r="F1" s="121" t="n"/>
      <c r="G1" s="4" t="inlineStr">
        <is>
          <t>参数
默认值</t>
        </is>
      </c>
      <c r="H1" s="2" t="inlineStr">
        <is>
          <t>实际应用</t>
        </is>
      </c>
      <c r="I1" s="122" t="n"/>
      <c r="J1" s="122" t="n"/>
      <c r="K1" s="119" t="n"/>
      <c r="L1" s="2" t="inlineStr">
        <is>
          <t>备注</t>
        </is>
      </c>
      <c r="M1" s="5" t="n"/>
      <c r="N1" s="6" t="n"/>
    </row>
    <row r="2" ht="19.30827067669173" customHeight="1">
      <c r="A2" s="130" t="n"/>
      <c r="B2" s="2" t="inlineStr">
        <is>
          <t>HEX</t>
        </is>
      </c>
      <c r="C2" s="2" t="inlineStr">
        <is>
          <t>DEC</t>
        </is>
      </c>
      <c r="D2" s="124" t="n"/>
      <c r="E2" s="125" t="n"/>
      <c r="F2" s="126" t="n"/>
      <c r="G2" s="127" t="n"/>
      <c r="H2" s="2" t="inlineStr">
        <is>
          <t>范围</t>
        </is>
      </c>
      <c r="I2" s="2" t="inlineStr">
        <is>
          <t>步进</t>
        </is>
      </c>
      <c r="J2" s="2" t="inlineStr">
        <is>
          <t>单位</t>
        </is>
      </c>
      <c r="K2" s="4" t="inlineStr">
        <is>
          <t>默认值</t>
        </is>
      </c>
      <c r="L2" s="127" t="n"/>
      <c r="M2" s="5" t="n"/>
      <c r="N2" s="7" t="n"/>
      <c r="O2" s="5" t="n"/>
    </row>
    <row r="3" ht="18.04511278195489" customHeight="1">
      <c r="A3" s="8" t="n">
        <v>0</v>
      </c>
      <c r="B3" s="51">
        <f>CONCATENATE("0x",DEC2HEX(C3,4))</f>
        <v/>
      </c>
      <c r="C3" s="52">
        <f>A3+HEX2DEC("1000")</f>
        <v/>
      </c>
      <c r="D3" s="53" t="inlineStr">
        <is>
          <t>心跳</t>
        </is>
      </c>
      <c r="E3" s="54" t="inlineStr">
        <is>
          <t>Heartbeat</t>
        </is>
      </c>
      <c r="F3" s="55" t="n"/>
      <c r="G3" s="54" t="n">
        <v>700</v>
      </c>
      <c r="H3" s="56" t="n"/>
      <c r="I3" s="57" t="n"/>
      <c r="J3" s="57" t="n"/>
      <c r="K3" s="58">
        <f>G3</f>
        <v/>
      </c>
      <c r="L3" s="59" t="inlineStr">
        <is>
          <t>查看注释</t>
        </is>
      </c>
      <c r="M3" s="5" t="n"/>
      <c r="N3" s="5" t="n"/>
      <c r="O3" s="7" t="n"/>
    </row>
    <row r="4" ht="18.04511278195489" customHeight="1">
      <c r="A4" s="8">
        <f>A3+1</f>
        <v/>
      </c>
      <c r="B4" s="51">
        <f>CONCATENATE("0x",DEC2HEX(C4,4))</f>
        <v/>
      </c>
      <c r="C4" s="60">
        <f>A4+HEX2DEC("1000")</f>
        <v/>
      </c>
      <c r="D4" s="61" t="inlineStr">
        <is>
          <t>设备地址</t>
        </is>
      </c>
      <c r="E4" s="62" t="inlineStr">
        <is>
          <t>Addr</t>
        </is>
      </c>
      <c r="F4" s="63" t="n"/>
      <c r="G4" s="62" t="n">
        <v>0</v>
      </c>
      <c r="H4" s="64" t="n"/>
      <c r="I4" s="65" t="n"/>
      <c r="J4" s="65" t="n"/>
      <c r="K4" s="66">
        <f>G4</f>
        <v/>
      </c>
      <c r="L4" s="67" t="inlineStr">
        <is>
          <t>设备地址，用于多台设备联机</t>
        </is>
      </c>
      <c r="M4" s="5" t="n"/>
      <c r="N4" s="5" t="n"/>
      <c r="O4" s="7" t="n"/>
    </row>
    <row r="5" ht="18.04511278195489" customHeight="1">
      <c r="A5" s="8">
        <f>A4+1</f>
        <v/>
      </c>
      <c r="B5" s="51">
        <f>CONCATENATE("0x",DEC2HEX(C5,4))</f>
        <v/>
      </c>
      <c r="C5" s="52">
        <f>A5+HEX2DEC("1000")</f>
        <v/>
      </c>
      <c r="D5" s="53" t="inlineStr">
        <is>
          <t>系统预设总数</t>
        </is>
      </c>
      <c r="E5" s="54" t="inlineStr">
        <is>
          <t>Number(N)</t>
        </is>
      </c>
      <c r="F5" s="55" t="n"/>
      <c r="G5" s="54" t="n">
        <v>1</v>
      </c>
      <c r="H5" s="56" t="n"/>
      <c r="I5" s="57" t="n"/>
      <c r="J5" s="57" t="n"/>
      <c r="K5" s="58">
        <f>G5</f>
        <v/>
      </c>
      <c r="L5" s="59" t="inlineStr">
        <is>
          <t>查看注释</t>
        </is>
      </c>
      <c r="M5" s="5" t="n"/>
      <c r="N5" s="5" t="n"/>
      <c r="O5" s="7" t="n"/>
    </row>
    <row r="6" ht="18.04511278195489" customHeight="1">
      <c r="A6" s="8">
        <f>A5+1</f>
        <v/>
      </c>
      <c r="B6" s="51">
        <f>CONCATENATE("0x",DEC2HEX(C6,4))</f>
        <v/>
      </c>
      <c r="C6" s="60">
        <f>A6+HEX2DEC("1000")</f>
        <v/>
      </c>
      <c r="D6" s="61" t="inlineStr">
        <is>
          <t>系统启动加载的预设</t>
        </is>
      </c>
      <c r="E6" s="62" t="inlineStr">
        <is>
          <t>StartupNo</t>
        </is>
      </c>
      <c r="F6" s="63" t="n"/>
      <c r="G6" s="62" t="n">
        <v>1</v>
      </c>
      <c r="H6" s="68" t="inlineStr">
        <is>
          <t>[1,N]</t>
        </is>
      </c>
      <c r="I6" s="69" t="n">
        <v>1</v>
      </c>
      <c r="J6" s="65" t="n"/>
      <c r="K6" s="66">
        <f>G6</f>
        <v/>
      </c>
      <c r="L6" s="70" t="inlineStr">
        <is>
          <t>查看注释</t>
        </is>
      </c>
      <c r="M6" s="5" t="n"/>
      <c r="N6" s="5" t="n"/>
      <c r="O6" s="7" t="n"/>
    </row>
    <row r="7" ht="18.04511278195489" customHeight="1">
      <c r="A7" s="8">
        <f>A6+1</f>
        <v/>
      </c>
      <c r="B7" s="51">
        <f>CONCATENATE("0x",DEC2HEX(C7,4))</f>
        <v/>
      </c>
      <c r="C7" s="52">
        <f>A7+HEX2DEC("1000")</f>
        <v/>
      </c>
      <c r="D7" s="53" t="inlineStr">
        <is>
          <t>保存（存储器）预设</t>
        </is>
      </c>
      <c r="E7" s="54" t="inlineStr">
        <is>
          <t>SaveNo</t>
        </is>
      </c>
      <c r="F7" s="55" t="n"/>
      <c r="G7" s="54" t="n">
        <v>1</v>
      </c>
      <c r="H7" s="71" t="inlineStr">
        <is>
          <t>[1,N]</t>
        </is>
      </c>
      <c r="I7" s="72" t="n">
        <v>1</v>
      </c>
      <c r="J7" s="57" t="n"/>
      <c r="K7" s="58">
        <f>G7</f>
        <v/>
      </c>
      <c r="L7" s="59" t="inlineStr">
        <is>
          <t>查看注释</t>
        </is>
      </c>
      <c r="M7" s="5" t="n"/>
      <c r="N7" s="5" t="n"/>
      <c r="O7" s="7" t="n"/>
    </row>
    <row r="8" ht="18.04511278195489" customHeight="1">
      <c r="A8" s="8">
        <f>A7+1</f>
        <v/>
      </c>
      <c r="B8" s="51">
        <f>CONCATENATE("0x",DEC2HEX(C8,4))</f>
        <v/>
      </c>
      <c r="C8" s="60">
        <f>A8+HEX2DEC("1000")</f>
        <v/>
      </c>
      <c r="D8" s="61" t="inlineStr">
        <is>
          <t>加载（存储器）预设</t>
        </is>
      </c>
      <c r="E8" s="62" t="inlineStr">
        <is>
          <t>LoadNo</t>
        </is>
      </c>
      <c r="F8" s="63" t="n"/>
      <c r="G8" s="62" t="n">
        <v>1</v>
      </c>
      <c r="H8" s="68" t="inlineStr">
        <is>
          <t>[1,N]</t>
        </is>
      </c>
      <c r="I8" s="69" t="n">
        <v>1</v>
      </c>
      <c r="J8" s="65" t="n"/>
      <c r="K8" s="66">
        <f>G8</f>
        <v/>
      </c>
      <c r="L8" s="70" t="inlineStr">
        <is>
          <t>查看注释</t>
        </is>
      </c>
      <c r="M8" s="5" t="n"/>
      <c r="N8" s="5" t="n"/>
      <c r="O8" s="7" t="n"/>
    </row>
    <row r="9" ht="18.04511278195489" customHeight="1">
      <c r="A9" s="8">
        <f>A8+1</f>
        <v/>
      </c>
      <c r="B9" s="51">
        <f>CONCATENATE("0x",DEC2HEX(C9,4))</f>
        <v/>
      </c>
      <c r="C9" s="52">
        <f>A9+HEX2DEC("1000")</f>
        <v/>
      </c>
      <c r="D9" s="53" t="inlineStr">
        <is>
          <t>删除（存储器）预设</t>
        </is>
      </c>
      <c r="E9" s="54" t="inlineStr">
        <is>
          <t>DeleNo</t>
        </is>
      </c>
      <c r="F9" s="55" t="n"/>
      <c r="G9" s="54" t="n">
        <v>0</v>
      </c>
      <c r="H9" s="71" t="inlineStr">
        <is>
          <t>[1,N]</t>
        </is>
      </c>
      <c r="I9" s="72" t="n">
        <v>1</v>
      </c>
      <c r="J9" s="57" t="n"/>
      <c r="K9" s="58">
        <f>G9</f>
        <v/>
      </c>
      <c r="L9" s="59" t="inlineStr">
        <is>
          <t>查看注释</t>
        </is>
      </c>
      <c r="M9" s="5" t="n"/>
      <c r="N9" s="5" t="n"/>
      <c r="O9" s="7" t="n"/>
    </row>
    <row r="10" ht="18.04511278195489" customHeight="1">
      <c r="A10" s="8">
        <f>A9+1</f>
        <v/>
      </c>
      <c r="B10" s="51">
        <f>CONCATENATE("0x",DEC2HEX(C10,4))</f>
        <v/>
      </c>
      <c r="C10" s="60">
        <f>A10+HEX2DEC("1000")</f>
        <v/>
      </c>
      <c r="D10" s="61" t="inlineStr">
        <is>
          <t>通讯错误</t>
        </is>
      </c>
      <c r="E10" s="62" t="inlineStr">
        <is>
          <t>ComErrAck</t>
        </is>
      </c>
      <c r="F10" s="63" t="n"/>
      <c r="G10" s="62" t="n">
        <v>0</v>
      </c>
      <c r="H10" s="68" t="inlineStr">
        <is>
          <t>[1,5]</t>
        </is>
      </c>
      <c r="I10" s="69" t="n">
        <v>1</v>
      </c>
      <c r="J10" s="65" t="n"/>
      <c r="K10" s="66">
        <f>G10</f>
        <v/>
      </c>
      <c r="L10" s="70" t="inlineStr">
        <is>
          <t>查看注释</t>
        </is>
      </c>
      <c r="M10" s="5" t="n"/>
      <c r="N10" s="5" t="n"/>
      <c r="O10" s="7" t="n"/>
    </row>
    <row r="11" ht="18.04511278195489" customHeight="1">
      <c r="A11" s="8">
        <f>A10+1</f>
        <v/>
      </c>
      <c r="B11" s="51">
        <f>CONCATENATE("0x",DEC2HEX(C11,4))</f>
        <v/>
      </c>
      <c r="C11" s="52">
        <f>A11+HEX2DEC("1000")</f>
        <v/>
      </c>
      <c r="D11" s="53" t="inlineStr">
        <is>
          <t>进入升级模式</t>
        </is>
      </c>
      <c r="E11" s="54" t="inlineStr">
        <is>
          <t>DFU</t>
        </is>
      </c>
      <c r="F11" s="55" t="n"/>
      <c r="G11" s="54" t="n">
        <v>0</v>
      </c>
      <c r="H11" s="56" t="n"/>
      <c r="I11" s="57" t="n"/>
      <c r="J11" s="57" t="n"/>
      <c r="K11" s="58">
        <f>G11</f>
        <v/>
      </c>
      <c r="L11" s="59" t="inlineStr">
        <is>
          <t>查看注释</t>
        </is>
      </c>
      <c r="M11" s="5" t="n"/>
      <c r="N11" s="5" t="n"/>
      <c r="O11" s="7" t="n"/>
    </row>
    <row r="12" ht="18.04511278195489" customHeight="1">
      <c r="A12" s="8">
        <f>A11+1</f>
        <v/>
      </c>
      <c r="B12" s="51">
        <f>CONCATENATE("0x",DEC2HEX(C12,4))</f>
        <v/>
      </c>
      <c r="C12" s="60">
        <f>A12+HEX2DEC("1000")</f>
        <v/>
      </c>
      <c r="D12" s="61" t="inlineStr">
        <is>
          <t>系统重新初始化</t>
        </is>
      </c>
      <c r="E12" s="62" t="inlineStr">
        <is>
          <t>ReInit</t>
        </is>
      </c>
      <c r="F12" s="63" t="n"/>
      <c r="G12" s="62" t="n">
        <v>0</v>
      </c>
      <c r="H12" s="64" t="n"/>
      <c r="I12" s="65" t="n"/>
      <c r="J12" s="65" t="n"/>
      <c r="K12" s="66">
        <f>G12</f>
        <v/>
      </c>
      <c r="L12" s="70" t="inlineStr">
        <is>
          <t>查看注释</t>
        </is>
      </c>
      <c r="M12" s="5" t="n"/>
      <c r="N12" s="5" t="n"/>
      <c r="O12" s="7" t="n"/>
    </row>
    <row r="13" ht="18.04511278195489" customHeight="1">
      <c r="A13" s="8">
        <f>A12+1</f>
        <v/>
      </c>
      <c r="B13" s="51">
        <f>CONCATENATE("0x",DEC2HEX(C13,4))</f>
        <v/>
      </c>
      <c r="C13" s="52">
        <f>A13+HEX2DEC("1000")</f>
        <v/>
      </c>
      <c r="D13" s="73" t="inlineStr">
        <is>
          <t>恢复出厂设置</t>
        </is>
      </c>
      <c r="E13" s="54" t="inlineStr">
        <is>
          <t>Set</t>
        </is>
      </c>
      <c r="F13" s="55" t="n"/>
      <c r="G13" s="54" t="n">
        <v>0</v>
      </c>
      <c r="H13" s="56" t="n"/>
      <c r="I13" s="57" t="n"/>
      <c r="J13" s="57" t="n"/>
      <c r="K13" s="58">
        <f>G13</f>
        <v/>
      </c>
      <c r="L13" s="59" t="inlineStr">
        <is>
          <t>写1恢复，写0无效</t>
        </is>
      </c>
      <c r="M13" s="5" t="n"/>
      <c r="N13" s="5" t="n"/>
      <c r="O13" s="7" t="n"/>
    </row>
    <row r="14" ht="18.04511278195489" customHeight="1">
      <c r="A14" s="8">
        <f>A13+1</f>
        <v/>
      </c>
      <c r="B14" s="51">
        <f>CONCATENATE("0x",DEC2HEX(C14,4))</f>
        <v/>
      </c>
      <c r="C14" s="60">
        <f>A14+HEX2DEC("1000")</f>
        <v/>
      </c>
      <c r="D14" s="74" t="inlineStr">
        <is>
          <t>软件同步数据标志</t>
        </is>
      </c>
      <c r="E14" s="62" t="inlineStr">
        <is>
          <t>SyncFlag</t>
        </is>
      </c>
      <c r="F14" s="63" t="n"/>
      <c r="G14" s="62" t="n">
        <v>0</v>
      </c>
      <c r="H14" s="68" t="inlineStr">
        <is>
          <t>[0,1]</t>
        </is>
      </c>
      <c r="I14" s="69" t="n">
        <v>1</v>
      </c>
      <c r="J14" s="65" t="n"/>
      <c r="K14" s="66">
        <f>G14</f>
        <v/>
      </c>
      <c r="L14" s="70" t="inlineStr">
        <is>
          <t>查看注释</t>
        </is>
      </c>
      <c r="M14" s="5" t="n"/>
      <c r="N14" s="5" t="n"/>
      <c r="O14" s="7" t="n"/>
    </row>
    <row r="15" ht="18.04511278195489" customHeight="1">
      <c r="A15" s="8">
        <f>A14+1</f>
        <v/>
      </c>
      <c r="B15" s="51">
        <f>CONCATENATE("0x",DEC2HEX(C15,4))</f>
        <v/>
      </c>
      <c r="C15" s="52">
        <f>A15+HEX2DEC("1000")</f>
        <v/>
      </c>
      <c r="D15" s="73" t="inlineStr">
        <is>
          <t>系统错误状态记录</t>
        </is>
      </c>
      <c r="E15" s="54" t="inlineStr">
        <is>
          <t>SysErr1</t>
        </is>
      </c>
      <c r="F15" s="55" t="n"/>
      <c r="G15" s="54" t="n">
        <v>0</v>
      </c>
      <c r="H15" s="56" t="n"/>
      <c r="I15" s="57" t="n"/>
      <c r="J15" s="57" t="n"/>
      <c r="K15" s="58">
        <f>G15</f>
        <v/>
      </c>
      <c r="L15" s="59" t="inlineStr">
        <is>
          <t>查看注释</t>
        </is>
      </c>
      <c r="M15" s="5" t="n"/>
      <c r="N15" s="5" t="n"/>
      <c r="O15" s="7" t="n"/>
    </row>
    <row r="16" ht="18.04511278195489" customHeight="1">
      <c r="A16" s="8">
        <f>A15+1</f>
        <v/>
      </c>
      <c r="B16" s="51">
        <f>CONCATENATE("0x",DEC2HEX(C16,4))</f>
        <v/>
      </c>
      <c r="C16" s="52">
        <f>A16+HEX2DEC("1000")</f>
        <v/>
      </c>
      <c r="D16" s="123" t="n"/>
      <c r="E16" s="54" t="inlineStr">
        <is>
          <t>SysErr2</t>
        </is>
      </c>
      <c r="F16" s="55" t="n"/>
      <c r="G16" s="54" t="n">
        <v>0</v>
      </c>
      <c r="H16" s="56" t="n"/>
      <c r="I16" s="57" t="n"/>
      <c r="J16" s="57" t="n"/>
      <c r="K16" s="58">
        <f>G16</f>
        <v/>
      </c>
      <c r="L16" s="55" t="n"/>
      <c r="M16" s="5" t="n"/>
      <c r="N16" s="5" t="n"/>
      <c r="O16" s="7" t="n"/>
    </row>
    <row r="17" ht="18.04511278195489" customHeight="1">
      <c r="A17" s="49" t="n"/>
      <c r="B17" s="49" t="n"/>
      <c r="C17" s="49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7" t="n"/>
    </row>
    <row r="18" ht="18.04511278195489" customHeight="1"/>
    <row r="19" ht="18.04511278195489" customHeight="1"/>
    <row r="20" ht="18.04511278195489" customHeight="1"/>
    <row r="21" ht="18.04511278195489" customHeight="1"/>
    <row r="22" ht="18.04511278195489" customHeight="1"/>
    <row r="23" ht="18.04511278195489" customHeight="1"/>
    <row r="24" ht="18.04511278195489" customHeight="1"/>
    <row r="25" ht="18.04511278195489" customHeight="1"/>
    <row r="26" ht="18.04511278195489" customHeight="1"/>
    <row r="27" ht="18.04511278195489" customHeight="1"/>
    <row r="28" ht="18.04511278195489" customHeight="1"/>
    <row r="29" ht="18.04511278195489" customHeight="1"/>
    <row r="30" ht="18.04511278195489" customHeight="1"/>
    <row r="31" ht="18.04511278195489" customHeight="1"/>
    <row r="32" ht="18.04511278195489" customHeight="1"/>
    <row r="33" ht="18.04511278195489" customHeight="1"/>
    <row r="34" ht="18.04511278195489" customHeight="1"/>
    <row r="35" ht="18.04511278195489" customHeight="1"/>
    <row r="36" ht="18.04511278195489" customHeight="1"/>
    <row r="37" ht="18.04511278195489" customHeight="1"/>
    <row r="38" ht="18.04511278195489" customHeight="1"/>
    <row r="39" ht="18.04511278195489" customHeight="1"/>
    <row r="40" ht="18.04511278195489" customHeight="1"/>
    <row r="41" ht="18.04511278195489" customHeight="1"/>
    <row r="42" ht="18.04511278195489" customHeight="1"/>
    <row r="43" ht="18.04511278195489" customHeight="1"/>
    <row r="44" ht="18.04511278195489" customHeight="1"/>
    <row r="45" ht="18.04511278195489" customHeight="1"/>
    <row r="46" ht="18.04511278195489" customHeight="1"/>
    <row r="47" ht="18.04511278195489" customHeight="1"/>
    <row r="48" ht="18.04511278195489" customHeight="1"/>
    <row r="49" ht="18.04511278195489" customHeight="1"/>
    <row r="50" ht="18.04511278195489" customHeight="1"/>
  </sheetData>
  <mergeCells count="7">
    <mergeCell ref="D15:D16"/>
    <mergeCell ref="G1:G2"/>
    <mergeCell ref="H1:K1"/>
    <mergeCell ref="L1:L2"/>
    <mergeCell ref="A1:A2"/>
    <mergeCell ref="D1:F2"/>
    <mergeCell ref="B1:C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3"/>
  <sheetViews>
    <sheetView workbookViewId="0">
      <selection activeCell="A1" sqref="A1"/>
    </sheetView>
  </sheetViews>
  <sheetFormatPr baseColWidth="8" defaultRowHeight="15" outlineLevelRow="0"/>
  <cols>
    <col width="8.198203125000001" customWidth="1" min="1" max="1"/>
    <col width="10.64" customWidth="1" min="2" max="2"/>
    <col width="9.528203125000001" customWidth="1" min="3" max="3"/>
    <col width="26.818203125" customWidth="1" min="4" max="4"/>
    <col width="18.838203125" customWidth="1" min="5" max="5"/>
    <col width="15.9184375" customWidth="1" min="6" max="6"/>
    <col width="9.751601562500001" customWidth="1" min="7" max="7"/>
    <col width="16.4016015625" customWidth="1" min="8" max="8"/>
    <col width="11.305" customWidth="1" min="9" max="9"/>
    <col width="7.98" customWidth="1" min="10" max="10"/>
    <col width="14.848203125" customWidth="1" min="11" max="11"/>
    <col width="36.128203125" customWidth="1" min="12" max="12"/>
    <col width="9.975000000000001" customWidth="1" min="13" max="13"/>
    <col width="5.32" customWidth="1" min="14" max="14"/>
    <col width="13.518203125" customWidth="1" min="15" max="15"/>
    <col width="19.95" customWidth="1" min="16" max="20"/>
  </cols>
  <sheetData>
    <row r="1" ht="18.04511278195489" customHeight="1">
      <c r="A1" s="50" t="inlineStr">
        <is>
          <t>序号</t>
        </is>
      </c>
      <c r="B1" s="2" t="inlineStr">
        <is>
          <t>参数地址</t>
        </is>
      </c>
      <c r="C1" s="119" t="n"/>
      <c r="D1" s="75" t="inlineStr">
        <is>
          <t>参数名称</t>
        </is>
      </c>
      <c r="E1" s="120" t="n"/>
      <c r="F1" s="131" t="n"/>
      <c r="G1" s="4" t="inlineStr">
        <is>
          <t>参数
默认值</t>
        </is>
      </c>
      <c r="H1" s="2" t="inlineStr">
        <is>
          <t>实际应用</t>
        </is>
      </c>
      <c r="I1" s="122" t="n"/>
      <c r="J1" s="122" t="n"/>
      <c r="K1" s="119" t="n"/>
      <c r="L1" s="2" t="inlineStr">
        <is>
          <t>备注</t>
        </is>
      </c>
      <c r="M1" s="5" t="n"/>
      <c r="N1" s="6" t="n"/>
      <c r="O1" s="76" t="n"/>
    </row>
    <row r="2" ht="19.30827067669173" customHeight="1">
      <c r="A2" s="130" t="n"/>
      <c r="B2" s="2" t="inlineStr">
        <is>
          <t>HEX</t>
        </is>
      </c>
      <c r="C2" s="2" t="inlineStr">
        <is>
          <t>DEC</t>
        </is>
      </c>
      <c r="D2" s="132" t="n"/>
      <c r="E2" s="133" t="n"/>
      <c r="F2" s="134" t="n"/>
      <c r="G2" s="127" t="n"/>
      <c r="H2" s="2" t="inlineStr">
        <is>
          <t>范围</t>
        </is>
      </c>
      <c r="I2" s="2" t="inlineStr">
        <is>
          <t>步进</t>
        </is>
      </c>
      <c r="J2" s="2" t="inlineStr">
        <is>
          <t>单位</t>
        </is>
      </c>
      <c r="K2" s="4" t="inlineStr">
        <is>
          <t>默认值</t>
        </is>
      </c>
      <c r="L2" s="127" t="n"/>
      <c r="M2" s="5" t="n"/>
      <c r="N2" s="7" t="n"/>
      <c r="O2" s="76" t="n"/>
    </row>
    <row r="3" ht="18.04511278195489" customHeight="1">
      <c r="A3" s="8" t="n">
        <v>0</v>
      </c>
      <c r="B3" s="77">
        <f>CONCATENATE("0x",DEC2HEX(C3,4))</f>
        <v/>
      </c>
      <c r="C3" s="78">
        <f>A3+HEX2DEC("2000")</f>
        <v/>
      </c>
      <c r="D3" s="79" t="inlineStr">
        <is>
          <t>预设数据校验和</t>
        </is>
      </c>
      <c r="E3" s="80" t="inlineStr">
        <is>
          <t>Checksum</t>
        </is>
      </c>
      <c r="F3" s="129" t="n"/>
      <c r="G3" s="80">
        <f>MOD(SUM(G4:G86),65536)</f>
        <v/>
      </c>
      <c r="H3" s="81" t="n"/>
      <c r="I3" s="81" t="n"/>
      <c r="J3" s="81" t="n"/>
      <c r="K3" s="82">
        <f>G3</f>
        <v/>
      </c>
      <c r="L3" s="83" t="inlineStr">
        <is>
          <t>查看注释</t>
        </is>
      </c>
      <c r="M3" s="5" t="n"/>
      <c r="N3" s="5" t="n"/>
      <c r="O3" s="76" t="n"/>
    </row>
    <row r="4" ht="18.04511278195489" customHeight="1">
      <c r="A4" s="8">
        <f>A3+1</f>
        <v/>
      </c>
      <c r="B4" s="84">
        <f>CONCATENATE("0x",DEC2HEX(C4,4))</f>
        <v/>
      </c>
      <c r="C4" s="85">
        <f>A4+HEX2DEC("2000")</f>
        <v/>
      </c>
      <c r="D4" s="86" t="inlineStr">
        <is>
          <t>预设有效标志</t>
        </is>
      </c>
      <c r="E4" s="87" t="inlineStr">
        <is>
          <t>ValidFlag</t>
        </is>
      </c>
      <c r="F4" s="129" t="n"/>
      <c r="G4" s="87" t="n">
        <v>1</v>
      </c>
      <c r="H4" s="88" t="n"/>
      <c r="I4" s="88" t="n"/>
      <c r="J4" s="88" t="n"/>
      <c r="K4" s="89">
        <f>G4</f>
        <v/>
      </c>
      <c r="L4" s="90" t="inlineStr">
        <is>
          <t>1有效，其它值为无效</t>
        </is>
      </c>
      <c r="M4" s="5" t="n"/>
      <c r="N4" s="5" t="n"/>
      <c r="O4" s="76" t="n"/>
    </row>
    <row r="5" ht="18.04511278195489" customHeight="1">
      <c r="A5" s="8">
        <f>A4+1</f>
        <v/>
      </c>
      <c r="B5" s="77">
        <f>CONCATENATE("0x",DEC2HEX(C5,4))</f>
        <v/>
      </c>
      <c r="C5" s="78">
        <f>A5+HEX2DEC("2000")</f>
        <v/>
      </c>
      <c r="D5" s="91" t="inlineStr">
        <is>
          <t>预设名称（64字节）</t>
        </is>
      </c>
      <c r="E5" s="80" t="inlineStr">
        <is>
          <t>PresetName1</t>
        </is>
      </c>
      <c r="F5" s="129" t="n"/>
      <c r="G5" s="80">
        <f>IF(LEN(K5)&gt;1,CODE(MID(K5,1,1))*256+CODE(MID(K5,2,1)),IF(LEN(K5)&gt;0,CODE(MID(K5,1,1)),0))</f>
        <v/>
      </c>
      <c r="H5" s="81" t="n"/>
      <c r="I5" s="81" t="n"/>
      <c r="J5" s="81" t="n"/>
      <c r="K5" s="82">
        <f>IF(LEN($L$6)&gt;1,CONCATENATE(MID($L$6,2,1),MID($L$6,1,1)),IF(LEN($L$6)&gt;0,MID($L$6,1,1),""))</f>
        <v/>
      </c>
      <c r="L5" s="83" t="inlineStr">
        <is>
          <t>查看注释</t>
        </is>
      </c>
      <c r="M5" s="5" t="n"/>
      <c r="N5" s="5" t="n"/>
      <c r="O5" s="76" t="n"/>
    </row>
    <row r="6" ht="18.04511278195489" customHeight="1">
      <c r="A6" s="8">
        <f>A5+1</f>
        <v/>
      </c>
      <c r="B6" s="77">
        <f>CONCATENATE("0x",DEC2HEX(C6,4))</f>
        <v/>
      </c>
      <c r="C6" s="78">
        <f>A6+HEX2DEC("2000")</f>
        <v/>
      </c>
      <c r="D6" s="128" t="n"/>
      <c r="E6" s="92" t="inlineStr">
        <is>
          <t>PresetName2</t>
        </is>
      </c>
      <c r="F6" s="129" t="n"/>
      <c r="G6" s="92">
        <f>IF(LEN(K6)&gt;1,CODE(MID(K6,1,1))*256+CODE(MID(K6,2,1)),IF(LEN(K6)&gt;0,CODE(MID(K6,1,1)),0))</f>
        <v/>
      </c>
      <c r="H6" s="93" t="n"/>
      <c r="I6" s="93" t="n"/>
      <c r="J6" s="93" t="n"/>
      <c r="K6" s="94">
        <f>IF(LEN($L$6)&gt;1,CONCATENATE(MID($L$6,4,1),MID($L$6,3,1)),IF(LEN($L$6)&gt;0,MID($L$6,3,1),""))</f>
        <v/>
      </c>
      <c r="L6" s="95" t="inlineStr">
        <is>
          <t xml:space="preserve"> </t>
        </is>
      </c>
      <c r="M6" s="5" t="n"/>
      <c r="N6" s="5" t="n"/>
      <c r="O6" s="76" t="n"/>
    </row>
    <row r="7" ht="18.04511278195489" customHeight="1">
      <c r="A7" s="8">
        <f>A6+1</f>
        <v/>
      </c>
      <c r="B7" s="77">
        <f>CONCATENATE("0x",DEC2HEX(C7,4))</f>
        <v/>
      </c>
      <c r="C7" s="78">
        <f>A7+HEX2DEC("2000")</f>
        <v/>
      </c>
      <c r="D7" s="128" t="n"/>
      <c r="E7" s="80" t="inlineStr">
        <is>
          <t>PresetName3</t>
        </is>
      </c>
      <c r="F7" s="129" t="n"/>
      <c r="G7" s="80">
        <f>IF(LEN(K7)&gt;1,CODE(MID(K7,1,1))*256+CODE(MID(K7,2,1)),IF(LEN(K7)&gt;0,CODE(MID(K7,1,1)),0))</f>
        <v/>
      </c>
      <c r="H7" s="81" t="n"/>
      <c r="I7" s="81" t="n"/>
      <c r="J7" s="81" t="n"/>
      <c r="K7" s="82">
        <f>IF(LEN($L$6)&gt;1,CONCATENATE(MID($L$6,6,1),MID($L$6,5,1)),IF(LEN($L$6)&gt;0,MID($L$6,5,1),""))</f>
        <v/>
      </c>
      <c r="L7" s="96" t="n"/>
      <c r="M7" s="5" t="n"/>
      <c r="N7" s="5" t="n"/>
      <c r="O7" s="76" t="n"/>
    </row>
    <row r="8" ht="18.04511278195489" customHeight="1">
      <c r="A8" s="8">
        <f>A7+1</f>
        <v/>
      </c>
      <c r="B8" s="77">
        <f>CONCATENATE("0x",DEC2HEX(C8,4))</f>
        <v/>
      </c>
      <c r="C8" s="78">
        <f>A8+HEX2DEC("2000")</f>
        <v/>
      </c>
      <c r="D8" s="128" t="n"/>
      <c r="E8" s="92" t="inlineStr">
        <is>
          <t>PresetName4</t>
        </is>
      </c>
      <c r="F8" s="129" t="n"/>
      <c r="G8" s="92">
        <f>IF(LEN(K8)&gt;1,CODE(MID(K8,1,1))*256+CODE(MID(K8,2,1)),IF(LEN(K8)&gt;0,CODE(MID(K8,1,1)),0))</f>
        <v/>
      </c>
      <c r="H8" s="93" t="n"/>
      <c r="I8" s="93" t="n"/>
      <c r="J8" s="93" t="n"/>
      <c r="K8" s="94">
        <f>IF(LEN($L$6)&gt;1,CONCATENATE(MID($L$6,8,1),MID($L$6,7,1)),IF(LEN($L$6)&gt;0,MID($L$6,7,1),""))</f>
        <v/>
      </c>
      <c r="L8" s="97" t="n"/>
      <c r="M8" s="5" t="n"/>
      <c r="N8" s="5" t="n"/>
      <c r="O8" s="76" t="n"/>
    </row>
    <row r="9" ht="18.04511278195489" customHeight="1">
      <c r="A9" s="8">
        <f>A8+1</f>
        <v/>
      </c>
      <c r="B9" s="77">
        <f>CONCATENATE("0x",DEC2HEX(C9,4))</f>
        <v/>
      </c>
      <c r="C9" s="78">
        <f>A9+HEX2DEC("2000")</f>
        <v/>
      </c>
      <c r="D9" s="128" t="n"/>
      <c r="E9" s="80" t="inlineStr">
        <is>
          <t>PresetName5</t>
        </is>
      </c>
      <c r="F9" s="129" t="n"/>
      <c r="G9" s="80">
        <f>IF(LEN(K9)&gt;1,CODE(MID(K9,1,1))*256+CODE(MID(K9,2,1)),IF(LEN(K9)&gt;0,CODE(MID(K9,1,1)),0))</f>
        <v/>
      </c>
      <c r="H9" s="81" t="n"/>
      <c r="I9" s="81" t="n"/>
      <c r="J9" s="81" t="n"/>
      <c r="K9" s="82">
        <f>IF(LEN($L$6)&gt;1,CONCATENATE(MID($L$6,10,1),MID($L$6,9,1)),IF(LEN($L$6)&gt;0,MID($L$6,9,1),""))</f>
        <v/>
      </c>
      <c r="L9" s="96" t="n"/>
      <c r="M9" s="5" t="n"/>
      <c r="N9" s="5" t="n"/>
      <c r="O9" s="76" t="n"/>
    </row>
    <row r="10" ht="18.04511278195489" customHeight="1">
      <c r="A10" s="8">
        <f>A9+1</f>
        <v/>
      </c>
      <c r="B10" s="77">
        <f>CONCATENATE("0x",DEC2HEX(C10,4))</f>
        <v/>
      </c>
      <c r="C10" s="78">
        <f>A10+HEX2DEC("2000")</f>
        <v/>
      </c>
      <c r="D10" s="128" t="n"/>
      <c r="E10" s="92" t="inlineStr">
        <is>
          <t>PresetName6</t>
        </is>
      </c>
      <c r="F10" s="129" t="n"/>
      <c r="G10" s="92">
        <f>IF(LEN(K10)&gt;1,CODE(MID(K10,1,1))*256+CODE(MID(K10,2,1)),IF(LEN(K10)&gt;0,CODE(MID(K10,1,1)),0))</f>
        <v/>
      </c>
      <c r="H10" s="93" t="n"/>
      <c r="I10" s="93" t="n"/>
      <c r="J10" s="93" t="n"/>
      <c r="K10" s="94">
        <f>IF(LEN($L$6)&gt;1,CONCATENATE(MID($L$6,12,1),MID($L$6,11,1)),IF(LEN($L$6)&gt;0,MID($L$6,11,1),""))</f>
        <v/>
      </c>
      <c r="L10" s="97" t="n"/>
      <c r="M10" s="5" t="n"/>
      <c r="N10" s="5" t="n"/>
      <c r="O10" s="76" t="n"/>
    </row>
    <row r="11" ht="18.04511278195489" customHeight="1">
      <c r="A11" s="8">
        <f>A10+1</f>
        <v/>
      </c>
      <c r="B11" s="77">
        <f>CONCATENATE("0x",DEC2HEX(C11,4))</f>
        <v/>
      </c>
      <c r="C11" s="78">
        <f>A11+HEX2DEC("2000")</f>
        <v/>
      </c>
      <c r="D11" s="128" t="n"/>
      <c r="E11" s="80" t="inlineStr">
        <is>
          <t>PresetName7</t>
        </is>
      </c>
      <c r="F11" s="129" t="n"/>
      <c r="G11" s="80">
        <f>IF(LEN(K11)&gt;1,CODE(MID(K11,1,1))*256+CODE(MID(K11,2,1)),IF(LEN(K11)&gt;0,CODE(MID(K11,1,1)),0))</f>
        <v/>
      </c>
      <c r="H11" s="81" t="n"/>
      <c r="I11" s="81" t="n"/>
      <c r="J11" s="81" t="n"/>
      <c r="K11" s="82">
        <f>IF(LEN($L$6)&gt;1,CONCATENATE(MID($L$6,14,1),MID($L$6,13,1)),IF(LEN($L$6)&gt;0,MID($L$6,13,1),""))</f>
        <v/>
      </c>
      <c r="L11" s="96" t="n"/>
      <c r="M11" s="5" t="n"/>
      <c r="N11" s="5" t="n"/>
      <c r="O11" s="76" t="n"/>
    </row>
    <row r="12" ht="18.04511278195489" customHeight="1">
      <c r="A12" s="8">
        <f>A11+1</f>
        <v/>
      </c>
      <c r="B12" s="77">
        <f>CONCATENATE("0x",DEC2HEX(C12,4))</f>
        <v/>
      </c>
      <c r="C12" s="78">
        <f>A12+HEX2DEC("2000")</f>
        <v/>
      </c>
      <c r="D12" s="128" t="n"/>
      <c r="E12" s="92" t="inlineStr">
        <is>
          <t>PresetName8</t>
        </is>
      </c>
      <c r="F12" s="129" t="n"/>
      <c r="G12" s="92">
        <f>IF(LEN(K12)&gt;1,CODE(MID(K12,1,1))*256+CODE(MID(K12,2,1)),IF(LEN(K12)&gt;0,CODE(MID(K12,1,1)),0))</f>
        <v/>
      </c>
      <c r="H12" s="93" t="n"/>
      <c r="I12" s="93" t="n"/>
      <c r="J12" s="93" t="n"/>
      <c r="K12" s="94">
        <f>IF(LEN($L$6)&gt;1,CONCATENATE(MID($L$6,16,1),MID($L$6,15,1)),IF(LEN($L$6)&gt;0,MID($L$6,15,1),""))</f>
        <v/>
      </c>
      <c r="L12" s="97" t="n"/>
      <c r="M12" s="5" t="n"/>
      <c r="N12" s="5" t="n"/>
      <c r="O12" s="76" t="n"/>
    </row>
    <row r="13" ht="18.04511278195489" customHeight="1">
      <c r="A13" s="8">
        <f>A12+1</f>
        <v/>
      </c>
      <c r="B13" s="77">
        <f>CONCATENATE("0x",DEC2HEX(C13,4))</f>
        <v/>
      </c>
      <c r="C13" s="78">
        <f>A13+HEX2DEC("2000")</f>
        <v/>
      </c>
      <c r="D13" s="128" t="n"/>
      <c r="E13" s="80" t="inlineStr">
        <is>
          <t>PresetName9</t>
        </is>
      </c>
      <c r="F13" s="129" t="n"/>
      <c r="G13" s="80">
        <f>IF(LEN(K13)&gt;1,CODE(MID(K13,1,1))*256+CODE(MID(K13,2,1)),IF(LEN(K13)&gt;0,CODE(MID(K13,1,1)),0))</f>
        <v/>
      </c>
      <c r="H13" s="81" t="n"/>
      <c r="I13" s="81" t="n"/>
      <c r="J13" s="81" t="n"/>
      <c r="K13" s="82">
        <f>IF(LEN($L$6)&gt;1,CONCATENATE(MID($L$6,18,1),MID($L$6,17,1)),IF(LEN($L$6)&gt;0,MID($L$6,17,1),""))</f>
        <v/>
      </c>
      <c r="L13" s="96" t="n"/>
      <c r="M13" s="5" t="n"/>
      <c r="N13" s="5" t="n"/>
      <c r="O13" s="76" t="n"/>
    </row>
    <row r="14" ht="18.04511278195489" customHeight="1">
      <c r="A14" s="8">
        <f>A13+1</f>
        <v/>
      </c>
      <c r="B14" s="77">
        <f>CONCATENATE("0x",DEC2HEX(C14,4))</f>
        <v/>
      </c>
      <c r="C14" s="78">
        <f>A14+HEX2DEC("2000")</f>
        <v/>
      </c>
      <c r="D14" s="128" t="n"/>
      <c r="E14" s="92" t="inlineStr">
        <is>
          <t>PresetName10</t>
        </is>
      </c>
      <c r="F14" s="129" t="n"/>
      <c r="G14" s="92">
        <f>IF(LEN(K14)&gt;1,CODE(MID(K14,1,1))*256+CODE(MID(K14,2,1)),IF(LEN(K14)&gt;0,CODE(MID(K14,1,1)),0))</f>
        <v/>
      </c>
      <c r="H14" s="93" t="n"/>
      <c r="I14" s="93" t="n"/>
      <c r="J14" s="93" t="n"/>
      <c r="K14" s="94">
        <f>IF(LEN($L$6)&gt;1,CONCATENATE(MID($L$6,20,1),MID($L$6,19,1)),IF(LEN($L$6)&gt;0,MID($L$6,19,1),""))</f>
        <v/>
      </c>
      <c r="L14" s="97" t="n"/>
      <c r="M14" s="5" t="n"/>
      <c r="N14" s="5" t="n"/>
      <c r="O14" s="76" t="n"/>
    </row>
    <row r="15" ht="18.04511278195489" customHeight="1">
      <c r="A15" s="8">
        <f>A14+1</f>
        <v/>
      </c>
      <c r="B15" s="77">
        <f>CONCATENATE("0x",DEC2HEX(C15,4))</f>
        <v/>
      </c>
      <c r="C15" s="78">
        <f>A15+HEX2DEC("2000")</f>
        <v/>
      </c>
      <c r="D15" s="128" t="n"/>
      <c r="E15" s="80" t="inlineStr">
        <is>
          <t>PresetName11</t>
        </is>
      </c>
      <c r="F15" s="129" t="n"/>
      <c r="G15" s="80">
        <f>IF(LEN(K15)&gt;1,CODE(MID(K15,1,1))*256+CODE(MID(K15,2,1)),IF(LEN(K15)&gt;0,CODE(MID(K15,1,1)),0))</f>
        <v/>
      </c>
      <c r="H15" s="81" t="n"/>
      <c r="I15" s="81" t="n"/>
      <c r="J15" s="81" t="n"/>
      <c r="K15" s="82">
        <f>IF(LEN($L$6)&gt;1,CONCATENATE(MID($L$6,22,1),MID($L$6,21,1)),IF(LEN($L$6)&gt;0,MID($L$6,21,1),""))</f>
        <v/>
      </c>
      <c r="L15" s="96" t="n"/>
      <c r="M15" s="5" t="n"/>
      <c r="N15" s="5" t="n"/>
      <c r="O15" s="76" t="n"/>
    </row>
    <row r="16" ht="18.04511278195489" customHeight="1">
      <c r="A16" s="8">
        <f>A15+1</f>
        <v/>
      </c>
      <c r="B16" s="77">
        <f>CONCATENATE("0x",DEC2HEX(C16,4))</f>
        <v/>
      </c>
      <c r="C16" s="78">
        <f>A16+HEX2DEC("2000")</f>
        <v/>
      </c>
      <c r="D16" s="128" t="n"/>
      <c r="E16" s="92" t="inlineStr">
        <is>
          <t>PresetName12</t>
        </is>
      </c>
      <c r="F16" s="129" t="n"/>
      <c r="G16" s="92">
        <f>IF(LEN(K16)&gt;1,CODE(MID(K16,1,1))*256+CODE(MID(K16,2,1)),IF(LEN(K16)&gt;0,CODE(MID(K16,1,1)),0))</f>
        <v/>
      </c>
      <c r="H16" s="93" t="n"/>
      <c r="I16" s="93" t="n"/>
      <c r="J16" s="93" t="n"/>
      <c r="K16" s="94">
        <f>IF(LEN($L$6)&gt;1,CONCATENATE(MID($L$6,24,1),MID($L$6,23,1)),IF(LEN($L$6)&gt;0,MID($L$6,23,1),""))</f>
        <v/>
      </c>
      <c r="L16" s="97" t="n"/>
      <c r="M16" s="5" t="n"/>
      <c r="N16" s="5" t="n"/>
      <c r="O16" s="76" t="n"/>
    </row>
    <row r="17" ht="18.04511278195489" customHeight="1">
      <c r="A17" s="8">
        <f>A16+1</f>
        <v/>
      </c>
      <c r="B17" s="77">
        <f>CONCATENATE("0x",DEC2HEX(C17,4))</f>
        <v/>
      </c>
      <c r="C17" s="78">
        <f>A17+HEX2DEC("2000")</f>
        <v/>
      </c>
      <c r="D17" s="128" t="n"/>
      <c r="E17" s="80" t="inlineStr">
        <is>
          <t>PresetName13</t>
        </is>
      </c>
      <c r="F17" s="129" t="n"/>
      <c r="G17" s="80">
        <f>IF(LEN(K17)&gt;1,CODE(MID(K17,1,1))*256+CODE(MID(K17,2,1)),IF(LEN(K17)&gt;0,CODE(MID(K17,1,1)),0))</f>
        <v/>
      </c>
      <c r="H17" s="81" t="n"/>
      <c r="I17" s="81" t="n"/>
      <c r="J17" s="81" t="n"/>
      <c r="K17" s="82">
        <f>IF(LEN($L$6)&gt;1,CONCATENATE(MID($L$6,26,1),MID($L$6,25,1)),IF(LEN($L$6)&gt;0,MID($L$6,25,1),""))</f>
        <v/>
      </c>
      <c r="L17" s="96" t="n"/>
      <c r="M17" s="5" t="n"/>
      <c r="N17" s="5" t="n"/>
      <c r="O17" s="76" t="n"/>
    </row>
    <row r="18" ht="18.04511278195489" customHeight="1">
      <c r="A18" s="8">
        <f>A17+1</f>
        <v/>
      </c>
      <c r="B18" s="77">
        <f>CONCATENATE("0x",DEC2HEX(C18,4))</f>
        <v/>
      </c>
      <c r="C18" s="78">
        <f>A18+HEX2DEC("2000")</f>
        <v/>
      </c>
      <c r="D18" s="128" t="n"/>
      <c r="E18" s="92" t="inlineStr">
        <is>
          <t>PresetName14</t>
        </is>
      </c>
      <c r="F18" s="129" t="n"/>
      <c r="G18" s="92">
        <f>IF(LEN(K18)&gt;1,CODE(MID(K18,1,1))*256+CODE(MID(K18,2,1)),IF(LEN(K18)&gt;0,CODE(MID(K18,1,1)),0))</f>
        <v/>
      </c>
      <c r="H18" s="93" t="n"/>
      <c r="I18" s="93" t="n"/>
      <c r="J18" s="93" t="n"/>
      <c r="K18" s="94">
        <f>IF(LEN($L$6)&gt;1,CONCATENATE(MID($L$6,28,1),MID($L$6,27,1)),IF(LEN($L$6)&gt;0,MID($L$6,27,1),""))</f>
        <v/>
      </c>
      <c r="L18" s="97" t="n"/>
      <c r="M18" s="5" t="n"/>
      <c r="N18" s="5" t="n"/>
      <c r="O18" s="76" t="n"/>
    </row>
    <row r="19" ht="18.04511278195489" customHeight="1">
      <c r="A19" s="8">
        <f>A18+1</f>
        <v/>
      </c>
      <c r="B19" s="77">
        <f>CONCATENATE("0x",DEC2HEX(C19,4))</f>
        <v/>
      </c>
      <c r="C19" s="78">
        <f>A19+HEX2DEC("2000")</f>
        <v/>
      </c>
      <c r="D19" s="128" t="n"/>
      <c r="E19" s="80" t="inlineStr">
        <is>
          <t>PresetName15</t>
        </is>
      </c>
      <c r="F19" s="129" t="n"/>
      <c r="G19" s="80">
        <f>IF(LEN(K19)&gt;1,CODE(MID(K19,1,1))*256+CODE(MID(K19,2,1)),IF(LEN(K19)&gt;0,CODE(MID(K19,1,1)),0))</f>
        <v/>
      </c>
      <c r="H19" s="81" t="n"/>
      <c r="I19" s="81" t="n"/>
      <c r="J19" s="81" t="n"/>
      <c r="K19" s="82">
        <f>IF(LEN($L$6)&gt;1,CONCATENATE(MID($L$6,30,1),MID($L$6,29,1)),IF(LEN($L$6)&gt;0,MID($L$6,29,1),""))</f>
        <v/>
      </c>
      <c r="L19" s="96" t="n"/>
      <c r="M19" s="5" t="n"/>
      <c r="N19" s="5" t="n"/>
      <c r="O19" s="76" t="n"/>
    </row>
    <row r="20" ht="18.04511278195489" customHeight="1">
      <c r="A20" s="8">
        <f>A19+1</f>
        <v/>
      </c>
      <c r="B20" s="77">
        <f>CONCATENATE("0x",DEC2HEX(C20,4))</f>
        <v/>
      </c>
      <c r="C20" s="78">
        <f>A20+HEX2DEC("2000")</f>
        <v/>
      </c>
      <c r="D20" s="128" t="n"/>
      <c r="E20" s="92" t="inlineStr">
        <is>
          <t>PresetName16</t>
        </is>
      </c>
      <c r="F20" s="129" t="n"/>
      <c r="G20" s="92">
        <f>IF(LEN(K20)&gt;1,CODE(MID(K20,1,1))*256+CODE(MID(K20,2,1)),IF(LEN(K20)&gt;0,CODE(MID(K20,1,1)),0))</f>
        <v/>
      </c>
      <c r="H20" s="93" t="n"/>
      <c r="I20" s="93" t="n"/>
      <c r="J20" s="93" t="n"/>
      <c r="K20" s="94">
        <f>IF(LEN($L$6)&gt;1,CONCATENATE(MID($L$6,32,1),MID($L$6,31,1)),IF(LEN($L$6)&gt;0,MID($L$6,31,1),""))</f>
        <v/>
      </c>
      <c r="L20" s="97" t="n"/>
      <c r="M20" s="5" t="n"/>
      <c r="N20" s="5" t="n"/>
      <c r="O20" s="76" t="n"/>
    </row>
    <row r="21" ht="18.04511278195489" customHeight="1">
      <c r="A21" s="8">
        <f>A20+1</f>
        <v/>
      </c>
      <c r="B21" s="77">
        <f>CONCATENATE("0x",DEC2HEX(C21,4))</f>
        <v/>
      </c>
      <c r="C21" s="78">
        <f>A21+HEX2DEC("2000")</f>
        <v/>
      </c>
      <c r="D21" s="128" t="n"/>
      <c r="E21" s="80" t="inlineStr">
        <is>
          <t>PresetName17</t>
        </is>
      </c>
      <c r="F21" s="129" t="n"/>
      <c r="G21" s="80">
        <f>IF(LEN(K21)&gt;1,CODE(MID(K21,1,1))*256+CODE(MID(K21,2,1)),IF(LEN(K21)&gt;0,CODE(MID(K21,1,1)),0))</f>
        <v/>
      </c>
      <c r="H21" s="81" t="n"/>
      <c r="I21" s="81" t="n"/>
      <c r="J21" s="81" t="n"/>
      <c r="K21" s="82">
        <f>IF(LEN($L$6)&gt;1,CONCATENATE(MID($L$6,34,1),MID($L$6,33,1)),IF(LEN($L$6)&gt;0,MID($L$6,33,1),""))</f>
        <v/>
      </c>
      <c r="L21" s="96" t="n"/>
      <c r="M21" s="5" t="n"/>
      <c r="N21" s="5" t="n"/>
      <c r="O21" s="76" t="n"/>
    </row>
    <row r="22" ht="18.04511278195489" customHeight="1">
      <c r="A22" s="8">
        <f>A21+1</f>
        <v/>
      </c>
      <c r="B22" s="77">
        <f>CONCATENATE("0x",DEC2HEX(C22,4))</f>
        <v/>
      </c>
      <c r="C22" s="78">
        <f>A22+HEX2DEC("2000")</f>
        <v/>
      </c>
      <c r="D22" s="128" t="n"/>
      <c r="E22" s="92" t="inlineStr">
        <is>
          <t>PresetName18</t>
        </is>
      </c>
      <c r="F22" s="129" t="n"/>
      <c r="G22" s="92">
        <f>IF(LEN(K22)&gt;1,CODE(MID(K22,1,1))*256+CODE(MID(K22,2,1)),IF(LEN(K22)&gt;0,CODE(MID(K22,1,1)),0))</f>
        <v/>
      </c>
      <c r="H22" s="93" t="n"/>
      <c r="I22" s="93" t="n"/>
      <c r="J22" s="93" t="n"/>
      <c r="K22" s="94">
        <f>IF(LEN($L$6)&gt;1,CONCATENATE(MID($L$6,36,1),MID($L$6,35,1)),IF(LEN($L$6)&gt;0,MID($L$6,35,1),""))</f>
        <v/>
      </c>
      <c r="L22" s="97" t="n"/>
      <c r="M22" s="5" t="n"/>
      <c r="N22" s="5" t="n"/>
      <c r="O22" s="76" t="n"/>
    </row>
    <row r="23" ht="18.04511278195489" customHeight="1">
      <c r="A23" s="8">
        <f>A22+1</f>
        <v/>
      </c>
      <c r="B23" s="77">
        <f>CONCATENATE("0x",DEC2HEX(C23,4))</f>
        <v/>
      </c>
      <c r="C23" s="78">
        <f>A23+HEX2DEC("2000")</f>
        <v/>
      </c>
      <c r="D23" s="128" t="n"/>
      <c r="E23" s="80" t="inlineStr">
        <is>
          <t>PresetName19</t>
        </is>
      </c>
      <c r="F23" s="129" t="n"/>
      <c r="G23" s="80">
        <f>IF(LEN(K23)&gt;1,CODE(MID(K23,1,1))*256+CODE(MID(K23,2,1)),IF(LEN(K23)&gt;0,CODE(MID(K23,1,1)),0))</f>
        <v/>
      </c>
      <c r="H23" s="81" t="n"/>
      <c r="I23" s="81" t="n"/>
      <c r="J23" s="81" t="n"/>
      <c r="K23" s="82">
        <f>IF(LEN($L$6)&gt;1,CONCATENATE(MID($L$6,38,1),MID($L$6,37,1)),IF(LEN($L$6)&gt;0,MID($L$6,37,1),""))</f>
        <v/>
      </c>
      <c r="L23" s="96" t="n"/>
      <c r="M23" s="5" t="n"/>
      <c r="N23" s="5" t="n"/>
      <c r="O23" s="76" t="n"/>
    </row>
    <row r="24" ht="18.04511278195489" customHeight="1">
      <c r="A24" s="8">
        <f>A23+1</f>
        <v/>
      </c>
      <c r="B24" s="77">
        <f>CONCATENATE("0x",DEC2HEX(C24,4))</f>
        <v/>
      </c>
      <c r="C24" s="78">
        <f>A24+HEX2DEC("2000")</f>
        <v/>
      </c>
      <c r="D24" s="128" t="n"/>
      <c r="E24" s="92" t="inlineStr">
        <is>
          <t>PresetName20</t>
        </is>
      </c>
      <c r="F24" s="129" t="n"/>
      <c r="G24" s="92">
        <f>IF(LEN(K24)&gt;1,CODE(MID(K24,1,1))*256+CODE(MID(K24,2,1)),IF(LEN(K24)&gt;0,CODE(MID(K24,1,1)),0))</f>
        <v/>
      </c>
      <c r="H24" s="93" t="n"/>
      <c r="I24" s="93" t="n"/>
      <c r="J24" s="93" t="n"/>
      <c r="K24" s="94">
        <f>IF(LEN($L$6)&gt;1,CONCATENATE(MID($L$6,40,1),MID($L$6,39,1)),IF(LEN($L$6)&gt;0,MID($L$6,39,1),""))</f>
        <v/>
      </c>
      <c r="L24" s="97" t="n"/>
      <c r="M24" s="5" t="n"/>
      <c r="N24" s="5" t="n"/>
      <c r="O24" s="76" t="n"/>
    </row>
    <row r="25" ht="18.04511278195489" customHeight="1">
      <c r="A25" s="8">
        <f>A24+1</f>
        <v/>
      </c>
      <c r="B25" s="77">
        <f>CONCATENATE("0x",DEC2HEX(C25,4))</f>
        <v/>
      </c>
      <c r="C25" s="78">
        <f>A25+HEX2DEC("2000")</f>
        <v/>
      </c>
      <c r="D25" s="128" t="n"/>
      <c r="E25" s="80" t="inlineStr">
        <is>
          <t>PresetName21</t>
        </is>
      </c>
      <c r="F25" s="129" t="n"/>
      <c r="G25" s="80">
        <f>IF(LEN(K25)&gt;1,CODE(MID(K25,1,1))*256+CODE(MID(K25,2,1)),IF(LEN(K25)&gt;0,CODE(MID(K25,1,1)),0))</f>
        <v/>
      </c>
      <c r="H25" s="81" t="n"/>
      <c r="I25" s="81" t="n"/>
      <c r="J25" s="81" t="n"/>
      <c r="K25" s="82">
        <f>IF(LEN($L$6)&gt;1,CONCATENATE(MID($L$6,42,1),MID($L$6,41,1)),IF(LEN($L$6)&gt;0,MID($L$6,41,1),""))</f>
        <v/>
      </c>
      <c r="L25" s="96" t="n"/>
      <c r="M25" s="5" t="n"/>
      <c r="N25" s="5" t="n"/>
      <c r="O25" s="76" t="n"/>
    </row>
    <row r="26" ht="18.04511278195489" customHeight="1">
      <c r="A26" s="8">
        <f>A25+1</f>
        <v/>
      </c>
      <c r="B26" s="77">
        <f>CONCATENATE("0x",DEC2HEX(C26,4))</f>
        <v/>
      </c>
      <c r="C26" s="78">
        <f>A26+HEX2DEC("2000")</f>
        <v/>
      </c>
      <c r="D26" s="128" t="n"/>
      <c r="E26" s="92" t="inlineStr">
        <is>
          <t>PresetName22</t>
        </is>
      </c>
      <c r="F26" s="129" t="n"/>
      <c r="G26" s="92">
        <f>IF(LEN(K26)&gt;1,CODE(MID(K26,1,1))*256+CODE(MID(K26,2,1)),IF(LEN(K26)&gt;0,CODE(MID(K26,1,1)),0))</f>
        <v/>
      </c>
      <c r="H26" s="93" t="n"/>
      <c r="I26" s="93" t="n"/>
      <c r="J26" s="93" t="n"/>
      <c r="K26" s="94">
        <f>IF(LEN($L$6)&gt;1,CONCATENATE(MID($L$6,44,1),MID($L$6,43,1)),IF(LEN($L$6)&gt;0,MID($L$6,43,1),""))</f>
        <v/>
      </c>
      <c r="L26" s="97" t="n"/>
      <c r="M26" s="5" t="n"/>
      <c r="N26" s="5" t="n"/>
      <c r="O26" s="76" t="n"/>
    </row>
    <row r="27" ht="18.04511278195489" customHeight="1">
      <c r="A27" s="8">
        <f>A26+1</f>
        <v/>
      </c>
      <c r="B27" s="77">
        <f>CONCATENATE("0x",DEC2HEX(C27,4))</f>
        <v/>
      </c>
      <c r="C27" s="78">
        <f>A27+HEX2DEC("2000")</f>
        <v/>
      </c>
      <c r="D27" s="128" t="n"/>
      <c r="E27" s="80" t="inlineStr">
        <is>
          <t>PresetName23</t>
        </is>
      </c>
      <c r="F27" s="129" t="n"/>
      <c r="G27" s="80">
        <f>IF(LEN(K27)&gt;1,CODE(MID(K27,1,1))*256+CODE(MID(K27,2,1)),IF(LEN(K27)&gt;0,CODE(MID(K27,1,1)),0))</f>
        <v/>
      </c>
      <c r="H27" s="81" t="n"/>
      <c r="I27" s="81" t="n"/>
      <c r="J27" s="81" t="n"/>
      <c r="K27" s="82">
        <f>IF(LEN($L$6)&gt;1,CONCATENATE(MID($L$6,46,1),MID($L$6,45,1)),IF(LEN($L$6)&gt;0,MID($L$6,45,1),""))</f>
        <v/>
      </c>
      <c r="L27" s="96" t="n"/>
      <c r="M27" s="5" t="n"/>
      <c r="N27" s="5" t="n"/>
      <c r="O27" s="76" t="n"/>
    </row>
    <row r="28" ht="18.04511278195489" customHeight="1">
      <c r="A28" s="8">
        <f>A27+1</f>
        <v/>
      </c>
      <c r="B28" s="77">
        <f>CONCATENATE("0x",DEC2HEX(C28,4))</f>
        <v/>
      </c>
      <c r="C28" s="78">
        <f>A28+HEX2DEC("2000")</f>
        <v/>
      </c>
      <c r="D28" s="128" t="n"/>
      <c r="E28" s="92" t="inlineStr">
        <is>
          <t>PresetName24</t>
        </is>
      </c>
      <c r="F28" s="129" t="n"/>
      <c r="G28" s="92">
        <f>IF(LEN(K28)&gt;1,CODE(MID(K28,1,1))*256+CODE(MID(K28,2,1)),IF(LEN(K28)&gt;0,CODE(MID(K28,1,1)),0))</f>
        <v/>
      </c>
      <c r="H28" s="93" t="n"/>
      <c r="I28" s="93" t="n"/>
      <c r="J28" s="93" t="n"/>
      <c r="K28" s="94">
        <f>IF(LEN($L$6)&gt;1,CONCATENATE(MID($L$6,48,1),MID($L$6,47,1)),IF(LEN($L$6)&gt;0,MID($L$6,47,1),""))</f>
        <v/>
      </c>
      <c r="L28" s="97" t="n"/>
      <c r="M28" s="5" t="n"/>
      <c r="N28" s="5" t="n"/>
      <c r="O28" s="76" t="n"/>
    </row>
    <row r="29" ht="18.04511278195489" customHeight="1">
      <c r="A29" s="8">
        <f>A28+1</f>
        <v/>
      </c>
      <c r="B29" s="77">
        <f>CONCATENATE("0x",DEC2HEX(C29,4))</f>
        <v/>
      </c>
      <c r="C29" s="78">
        <f>A29+HEX2DEC("2000")</f>
        <v/>
      </c>
      <c r="D29" s="128" t="n"/>
      <c r="E29" s="80" t="inlineStr">
        <is>
          <t>PresetName25</t>
        </is>
      </c>
      <c r="F29" s="129" t="n"/>
      <c r="G29" s="80">
        <f>IF(LEN(K29)&gt;1,CODE(MID(K29,1,1))*256+CODE(MID(K29,2,1)),IF(LEN(K29)&gt;0,CODE(MID(K29,1,1)),0))</f>
        <v/>
      </c>
      <c r="H29" s="81" t="n"/>
      <c r="I29" s="81" t="n"/>
      <c r="J29" s="81" t="n"/>
      <c r="K29" s="82">
        <f>IF(LEN($L$6)&gt;1,CONCATENATE(MID($L$6,50,1),MID($L$6,49,1)),IF(LEN($L$6)&gt;0,MID($L$6,49,1),""))</f>
        <v/>
      </c>
      <c r="L29" s="96" t="n"/>
      <c r="M29" s="5" t="n"/>
      <c r="N29" s="5" t="n"/>
      <c r="O29" s="76" t="n"/>
    </row>
    <row r="30" ht="18.04511278195489" customHeight="1">
      <c r="A30" s="8">
        <f>A29+1</f>
        <v/>
      </c>
      <c r="B30" s="77">
        <f>CONCATENATE("0x",DEC2HEX(C30,4))</f>
        <v/>
      </c>
      <c r="C30" s="78">
        <f>A30+HEX2DEC("2000")</f>
        <v/>
      </c>
      <c r="D30" s="128" t="n"/>
      <c r="E30" s="92" t="inlineStr">
        <is>
          <t>PresetName26</t>
        </is>
      </c>
      <c r="F30" s="129" t="n"/>
      <c r="G30" s="92">
        <f>IF(LEN(K30)&gt;1,CODE(MID(K30,1,1))*256+CODE(MID(K30,2,1)),IF(LEN(K30)&gt;0,CODE(MID(K30,1,1)),0))</f>
        <v/>
      </c>
      <c r="H30" s="93" t="n"/>
      <c r="I30" s="93" t="n"/>
      <c r="J30" s="93" t="n"/>
      <c r="K30" s="94">
        <f>IF(LEN($L$6)&gt;1,CONCATENATE(MID($L$6,52,1),MID($L$6,51,1)),IF(LEN($L$6)&gt;0,MID($L$6,51,1),""))</f>
        <v/>
      </c>
      <c r="L30" s="97" t="n"/>
      <c r="M30" s="5" t="n"/>
      <c r="N30" s="5" t="n"/>
      <c r="O30" s="76" t="n"/>
    </row>
    <row r="31" ht="18.04511278195489" customHeight="1">
      <c r="A31" s="8">
        <f>A30+1</f>
        <v/>
      </c>
      <c r="B31" s="77">
        <f>CONCATENATE("0x",DEC2HEX(C31,4))</f>
        <v/>
      </c>
      <c r="C31" s="78">
        <f>A31+HEX2DEC("2000")</f>
        <v/>
      </c>
      <c r="D31" s="128" t="n"/>
      <c r="E31" s="80" t="inlineStr">
        <is>
          <t>PresetName27</t>
        </is>
      </c>
      <c r="F31" s="129" t="n"/>
      <c r="G31" s="80">
        <f>IF(LEN(K31)&gt;1,CODE(MID(K31,1,1))*256+CODE(MID(K31,2,1)),IF(LEN(K31)&gt;0,CODE(MID(K31,1,1)),0))</f>
        <v/>
      </c>
      <c r="H31" s="81" t="n"/>
      <c r="I31" s="81" t="n"/>
      <c r="J31" s="81" t="n"/>
      <c r="K31" s="82">
        <f>IF(LEN($L$6)&gt;1,CONCATENATE(MID($L$6,54,1),MID($L$6,53,1)),IF(LEN($L$6)&gt;0,MID($L$6,53,1),""))</f>
        <v/>
      </c>
      <c r="L31" s="96" t="n"/>
      <c r="M31" s="5" t="n"/>
      <c r="N31" s="5" t="n"/>
      <c r="O31" s="76" t="n"/>
    </row>
    <row r="32" ht="18.04511278195489" customHeight="1">
      <c r="A32" s="8">
        <f>A31+1</f>
        <v/>
      </c>
      <c r="B32" s="77">
        <f>CONCATENATE("0x",DEC2HEX(C32,4))</f>
        <v/>
      </c>
      <c r="C32" s="78">
        <f>A32+HEX2DEC("2000")</f>
        <v/>
      </c>
      <c r="D32" s="128" t="n"/>
      <c r="E32" s="92" t="inlineStr">
        <is>
          <t>PresetName28</t>
        </is>
      </c>
      <c r="F32" s="129" t="n"/>
      <c r="G32" s="92">
        <f>IF(LEN(K32)&gt;1,CODE(MID(K32,1,1))*256+CODE(MID(K32,2,1)),IF(LEN(K32)&gt;0,CODE(MID(K32,1,1)),0))</f>
        <v/>
      </c>
      <c r="H32" s="93" t="n"/>
      <c r="I32" s="93" t="n"/>
      <c r="J32" s="93" t="n"/>
      <c r="K32" s="94">
        <f>IF(LEN($L$6)&gt;1,CONCATENATE(MID($L$6,56,1),MID($L$6,55,1)),IF(LEN($L$6)&gt;0,MID($L$6,55,1),""))</f>
        <v/>
      </c>
      <c r="L32" s="97" t="n"/>
      <c r="M32" s="5" t="n"/>
      <c r="N32" s="5" t="n"/>
      <c r="O32" s="76" t="n"/>
    </row>
    <row r="33" ht="18.04511278195489" customHeight="1">
      <c r="A33" s="8">
        <f>A32+1</f>
        <v/>
      </c>
      <c r="B33" s="77">
        <f>CONCATENATE("0x",DEC2HEX(C33,4))</f>
        <v/>
      </c>
      <c r="C33" s="78">
        <f>A33+HEX2DEC("2000")</f>
        <v/>
      </c>
      <c r="D33" s="128" t="n"/>
      <c r="E33" s="80" t="inlineStr">
        <is>
          <t>PresetName29</t>
        </is>
      </c>
      <c r="F33" s="129" t="n"/>
      <c r="G33" s="80">
        <f>IF(LEN(K33)&gt;1,CODE(MID(K33,1,1))*256+CODE(MID(K33,2,1)),IF(LEN(K33)&gt;0,CODE(MID(K33,1,1)),0))</f>
        <v/>
      </c>
      <c r="H33" s="81" t="n"/>
      <c r="I33" s="81" t="n"/>
      <c r="J33" s="81" t="n"/>
      <c r="K33" s="82">
        <f>IF(LEN($L$6)&gt;1,CONCATENATE(MID($L$6,58,1),MID($L$6,57,1)),IF(LEN($L$6)&gt;0,MID($L$6,57,1),""))</f>
        <v/>
      </c>
      <c r="L33" s="96" t="n"/>
      <c r="M33" s="5" t="n"/>
      <c r="N33" s="5" t="n"/>
      <c r="O33" s="76" t="n"/>
    </row>
    <row r="34" ht="18.04511278195489" customHeight="1">
      <c r="A34" s="8">
        <f>A33+1</f>
        <v/>
      </c>
      <c r="B34" s="77">
        <f>CONCATENATE("0x",DEC2HEX(C34,4))</f>
        <v/>
      </c>
      <c r="C34" s="78">
        <f>A34+HEX2DEC("2000")</f>
        <v/>
      </c>
      <c r="D34" s="128" t="n"/>
      <c r="E34" s="92" t="inlineStr">
        <is>
          <t>PresetName30</t>
        </is>
      </c>
      <c r="F34" s="129" t="n"/>
      <c r="G34" s="92">
        <f>IF(LEN(K34)&gt;1,CODE(MID(K34,1,1))*256+CODE(MID(K34,2,1)),IF(LEN(K34)&gt;0,CODE(MID(K34,1,1)),0))</f>
        <v/>
      </c>
      <c r="H34" s="93" t="n"/>
      <c r="I34" s="93" t="n"/>
      <c r="J34" s="93" t="n"/>
      <c r="K34" s="94">
        <f>IF(LEN($L$6)&gt;1,CONCATENATE(MID($L$6,60,1),MID($L$6,59,1)),IF(LEN($L$6)&gt;0,MID($L$6,59,1),""))</f>
        <v/>
      </c>
      <c r="L34" s="97" t="n"/>
      <c r="M34" s="5" t="n"/>
      <c r="N34" s="5" t="n"/>
      <c r="O34" s="76" t="n"/>
    </row>
    <row r="35" ht="18.04511278195489" customHeight="1">
      <c r="A35" s="8">
        <f>A34+1</f>
        <v/>
      </c>
      <c r="B35" s="77">
        <f>CONCATENATE("0x",DEC2HEX(C35,4))</f>
        <v/>
      </c>
      <c r="C35" s="78">
        <f>A35+HEX2DEC("2000")</f>
        <v/>
      </c>
      <c r="D35" s="128" t="n"/>
      <c r="E35" s="80" t="inlineStr">
        <is>
          <t>PresetName31</t>
        </is>
      </c>
      <c r="F35" s="129" t="n"/>
      <c r="G35" s="80">
        <f>IF(LEN(K35)&gt;1,CODE(MID(K35,1,1))*256+CODE(MID(K35,2,1)),IF(LEN(K35)&gt;0,CODE(MID(K35,1,1)),0))</f>
        <v/>
      </c>
      <c r="H35" s="81" t="n"/>
      <c r="I35" s="81" t="n"/>
      <c r="J35" s="81" t="n"/>
      <c r="K35" s="82">
        <f>IF(LEN($L$6)&gt;1,CONCATENATE(MID($L$6,62,1),MID($L$6,61,1)),IF(LEN($L$6)&gt;0,MID($L$6,61,1),""))</f>
        <v/>
      </c>
      <c r="L35" s="96" t="n"/>
      <c r="M35" s="5" t="n"/>
      <c r="N35" s="5" t="n"/>
      <c r="O35" s="76" t="n"/>
    </row>
    <row r="36" ht="18.04511278195489" customHeight="1">
      <c r="A36" s="8">
        <f>A35+1</f>
        <v/>
      </c>
      <c r="B36" s="77">
        <f>CONCATENATE("0x",DEC2HEX(C36,4))</f>
        <v/>
      </c>
      <c r="C36" s="78">
        <f>A36+HEX2DEC("2000")</f>
        <v/>
      </c>
      <c r="D36" s="123" t="n"/>
      <c r="E36" s="80" t="inlineStr">
        <is>
          <t>PresetName32</t>
        </is>
      </c>
      <c r="F36" s="129" t="n"/>
      <c r="G36" s="80">
        <f>IF(LEN(K36)&gt;1,CODE(MID(K36,1,1))*256+CODE(MID(K36,2,1)),IF(LEN(K36)&gt;0,CODE(MID(K36,1,1)),0))</f>
        <v/>
      </c>
      <c r="H36" s="81" t="n"/>
      <c r="I36" s="81" t="n"/>
      <c r="J36" s="81" t="n"/>
      <c r="K36" s="82">
        <f>IF(LEN($L$6)&gt;1,CONCATENATE(MID($L$6,64,1),MID($L$6,63,1)),IF(LEN($L$6)&gt;0,MID($L$6,63,1),""))</f>
        <v/>
      </c>
      <c r="L36" s="96" t="n"/>
      <c r="M36" s="5" t="n"/>
      <c r="N36" s="5" t="n"/>
      <c r="O36" s="76" t="n"/>
    </row>
    <row r="37" ht="19.30827067669173" customHeight="1">
      <c r="A37" s="8">
        <f>A36+1</f>
        <v/>
      </c>
      <c r="B37" s="77">
        <f>CONCATENATE("0x",DEC2HEX(C37,4))</f>
        <v/>
      </c>
      <c r="C37" s="78">
        <f>A37+HEX2DEC("2000")</f>
        <v/>
      </c>
      <c r="D37" s="98" t="inlineStr">
        <is>
          <t>MIC静音(Mute)</t>
        </is>
      </c>
      <c r="E37" s="98" t="inlineStr">
        <is>
          <t>MIC</t>
        </is>
      </c>
      <c r="F37" s="98" t="inlineStr">
        <is>
          <t>Mute</t>
        </is>
      </c>
      <c r="G37" s="80" t="n">
        <v>0</v>
      </c>
      <c r="H37" s="82" t="inlineStr">
        <is>
          <t>[0,1]</t>
        </is>
      </c>
      <c r="I37" s="82" t="n">
        <v>1</v>
      </c>
      <c r="J37" s="81" t="n"/>
      <c r="K37" s="82">
        <f>IF(G37=0,"关","开")</f>
        <v/>
      </c>
      <c r="L37" s="83" t="inlineStr">
        <is>
          <t>0静音关，1静音开</t>
        </is>
      </c>
      <c r="M37" s="5" t="n"/>
      <c r="N37" s="5" t="n"/>
      <c r="O37" s="76" t="n"/>
    </row>
    <row r="38" ht="19.30827067669173" customHeight="1">
      <c r="A38" s="8">
        <f>A37+1</f>
        <v/>
      </c>
      <c r="B38" s="77">
        <f>CONCATENATE("0x",DEC2HEX(C38,4))</f>
        <v/>
      </c>
      <c r="C38" s="78">
        <f>A38+HEX2DEC("2000")</f>
        <v/>
      </c>
      <c r="D38" s="98" t="inlineStr">
        <is>
          <t>MIC音量(Gain)</t>
        </is>
      </c>
      <c r="E38" s="98" t="inlineStr">
        <is>
          <t>MIC</t>
        </is>
      </c>
      <c r="F38" s="98" t="inlineStr">
        <is>
          <t>Gain</t>
        </is>
      </c>
      <c r="G38" s="80" t="n">
        <v>100</v>
      </c>
      <c r="H38" s="82" t="inlineStr">
        <is>
          <t>[0,100]</t>
        </is>
      </c>
      <c r="I38" s="82" t="n">
        <v>1</v>
      </c>
      <c r="J38" s="81" t="n"/>
      <c r="K38" s="82" t="n"/>
      <c r="L38" s="83" t="inlineStr">
        <is>
          <t>只读</t>
        </is>
      </c>
      <c r="M38" s="5" t="n"/>
      <c r="N38" s="5" t="n"/>
      <c r="O38" s="76" t="n"/>
    </row>
    <row r="39" ht="19.30827067669173" customHeight="1">
      <c r="A39" s="8">
        <f>A38+1</f>
        <v/>
      </c>
      <c r="B39" s="77">
        <f>CONCATENATE("0x",DEC2HEX(C39,4))</f>
        <v/>
      </c>
      <c r="C39" s="78">
        <f>A39+HEX2DEC("2000")</f>
        <v/>
      </c>
      <c r="D39" s="98" t="inlineStr">
        <is>
          <t>降噪开关</t>
        </is>
      </c>
      <c r="E39" s="100" t="inlineStr">
        <is>
          <t>OnOff</t>
        </is>
      </c>
      <c r="F39" s="129" t="n"/>
      <c r="G39" s="80" t="n">
        <v>0</v>
      </c>
      <c r="H39" s="82" t="inlineStr">
        <is>
          <t>[0,1]</t>
        </is>
      </c>
      <c r="I39" s="82" t="n">
        <v>1</v>
      </c>
      <c r="J39" s="81" t="n"/>
      <c r="K39" s="82">
        <f>IF(G39=0,"关","开")</f>
        <v/>
      </c>
      <c r="L39" s="83" t="inlineStr">
        <is>
          <t>0关，1开</t>
        </is>
      </c>
      <c r="M39" s="5" t="n"/>
      <c r="N39" s="5" t="n"/>
      <c r="O39" s="76" t="n"/>
    </row>
    <row r="40" ht="19.30827067669173" customHeight="1">
      <c r="A40" s="8">
        <f>A39+1</f>
        <v/>
      </c>
      <c r="B40" s="77">
        <f>CONCATENATE("0x",DEC2HEX(C40,4))</f>
        <v/>
      </c>
      <c r="C40" s="78">
        <f>A40+HEX2DEC("2000")</f>
        <v/>
      </c>
      <c r="D40" s="98" t="inlineStr">
        <is>
          <t>降噪强度</t>
        </is>
      </c>
      <c r="E40" s="100" t="inlineStr">
        <is>
          <t>Threshold</t>
        </is>
      </c>
      <c r="F40" s="129" t="n"/>
      <c r="G40" s="80" t="n">
        <v>0</v>
      </c>
      <c r="H40" s="98" t="inlineStr">
        <is>
          <t>[0,3]</t>
        </is>
      </c>
      <c r="I40" s="98" t="n">
        <v>1</v>
      </c>
      <c r="J40" s="101" t="n"/>
      <c r="K40" s="101" t="n"/>
      <c r="L40" s="79" t="inlineStr">
        <is>
          <t>查看注释</t>
        </is>
      </c>
      <c r="M40" s="5" t="n"/>
      <c r="N40" s="5" t="n"/>
      <c r="O40" s="76" t="n"/>
    </row>
    <row r="41" ht="19.30827067669173" customHeight="1">
      <c r="A41" s="8">
        <f>A40+1</f>
        <v/>
      </c>
      <c r="B41" s="77">
        <f>CONCATENATE("0x",DEC2HEX(C41,4))</f>
        <v/>
      </c>
      <c r="C41" s="78">
        <f>A41+HEX2DEC("2000")</f>
        <v/>
      </c>
      <c r="D41" s="98" t="inlineStr">
        <is>
          <t>MIC均衡器模式(场景)</t>
        </is>
      </c>
      <c r="E41" s="100" t="inlineStr">
        <is>
          <t>MIC</t>
        </is>
      </c>
      <c r="F41" s="129" t="n"/>
      <c r="G41" s="80" t="n">
        <v>1</v>
      </c>
      <c r="H41" s="98" t="inlineStr">
        <is>
          <t>[0,4]</t>
        </is>
      </c>
      <c r="I41" s="98" t="n">
        <v>1</v>
      </c>
      <c r="J41" s="101" t="n"/>
      <c r="K41" s="101">
        <f>IF(G41=0,"原声",IF(G41=1,"录配音",IF(G41=2,"播客模式",IF(G41=3,"直播模式","游戏模式"))))</f>
        <v/>
      </c>
      <c r="L41" s="79" t="inlineStr">
        <is>
          <t>查看注释</t>
        </is>
      </c>
      <c r="M41" s="5" t="n"/>
      <c r="N41" s="5" t="n"/>
      <c r="O41" s="76" t="n"/>
    </row>
    <row r="42" ht="19.30827067669173" customHeight="1">
      <c r="A42" s="8">
        <f>A41+1</f>
        <v/>
      </c>
      <c r="B42" s="77">
        <f>CONCATENATE("0x",DEC2HEX(C42,4))</f>
        <v/>
      </c>
      <c r="C42" s="78">
        <f>A42+HEX2DEC("2000")</f>
        <v/>
      </c>
      <c r="D42" s="91" t="inlineStr">
        <is>
          <t>参量均衡器(场景)</t>
        </is>
      </c>
      <c r="E42" s="102" t="inlineStr">
        <is>
          <t>Band-1</t>
        </is>
      </c>
      <c r="G42" s="86" t="n">
        <v>1</v>
      </c>
      <c r="H42" s="86" t="inlineStr">
        <is>
          <t>[0,1]</t>
        </is>
      </c>
      <c r="I42" s="86" t="n">
        <v>1</v>
      </c>
      <c r="J42" s="103" t="n"/>
      <c r="K42" s="86">
        <f>IF(G42=0,"Disable","Enable")</f>
        <v/>
      </c>
      <c r="L42" s="86" t="inlineStr">
        <is>
          <t>0Disable，1Enable</t>
        </is>
      </c>
      <c r="M42" s="5" t="n"/>
      <c r="N42" s="5" t="n"/>
      <c r="O42" s="76" t="n"/>
    </row>
    <row r="43" ht="19.30827067669173" customHeight="1">
      <c r="A43" s="8">
        <f>A42+1</f>
        <v/>
      </c>
      <c r="B43" s="77">
        <f>CONCATENATE("0x",DEC2HEX(C43,4))</f>
        <v/>
      </c>
      <c r="C43" s="78">
        <f>A43+HEX2DEC("2000")</f>
        <v/>
      </c>
      <c r="D43" s="128" t="n"/>
      <c r="E43" s="86" t="inlineStr">
        <is>
          <t>Band-1</t>
        </is>
      </c>
      <c r="G43" s="86" t="n">
        <v>4</v>
      </c>
      <c r="H43" s="86" t="inlineStr">
        <is>
          <t>[0,4]</t>
        </is>
      </c>
      <c r="I43" s="86" t="n">
        <v>0</v>
      </c>
      <c r="J43" s="103" t="n"/>
      <c r="K43" s="86">
        <f>IF(G43=0,"Peak",IF(G43=1,"LS",IF(G43=2,"HS",IF(G43=3,"LPF","HPF"))))</f>
        <v/>
      </c>
      <c r="L43" s="86" t="inlineStr">
        <is>
          <t>value=param</t>
        </is>
      </c>
      <c r="M43" s="5" t="n"/>
      <c r="N43" s="5" t="n"/>
      <c r="O43" s="76" t="n"/>
    </row>
    <row r="44" ht="18.04511278195489" customHeight="1">
      <c r="A44" s="8">
        <f>A43+1</f>
        <v/>
      </c>
      <c r="B44" s="77">
        <f>CONCATENATE("0x",DEC2HEX(C44,4))</f>
        <v/>
      </c>
      <c r="C44" s="78">
        <f>A44+HEX2DEC("2000")</f>
        <v/>
      </c>
      <c r="D44" s="128" t="n"/>
      <c r="E44" s="86" t="inlineStr">
        <is>
          <t>Band-1</t>
        </is>
      </c>
      <c r="F44" s="86" t="inlineStr">
        <is>
          <t>Freq</t>
        </is>
      </c>
      <c r="G44" s="86" t="n">
        <v>50</v>
      </c>
      <c r="H44" s="86" t="inlineStr">
        <is>
          <t>[20,20000]</t>
        </is>
      </c>
      <c r="I44" s="86" t="n">
        <v>1</v>
      </c>
      <c r="J44" s="86" t="inlineStr">
        <is>
          <t>Hz</t>
        </is>
      </c>
      <c r="K44" s="86">
        <f>CONCATENATE(G44," Hz")</f>
        <v/>
      </c>
      <c r="L44" s="103" t="n"/>
      <c r="M44" s="5" t="n"/>
      <c r="N44" s="5" t="n"/>
      <c r="O44" s="76" t="n"/>
    </row>
    <row r="45" ht="18.04511278195489" customHeight="1">
      <c r="A45" s="8">
        <f>A44+1</f>
        <v/>
      </c>
      <c r="B45" s="77">
        <f>CONCATENATE("0x",DEC2HEX(C45,4))</f>
        <v/>
      </c>
      <c r="C45" s="78">
        <f>A45+HEX2DEC("2000")</f>
        <v/>
      </c>
      <c r="D45" s="128" t="n"/>
      <c r="E45" s="86" t="inlineStr">
        <is>
          <t>Band-1</t>
        </is>
      </c>
      <c r="F45" s="86" t="inlineStr">
        <is>
          <t>Gain</t>
        </is>
      </c>
      <c r="G45" s="86" t="n">
        <v>320</v>
      </c>
      <c r="H45" s="86" t="inlineStr">
        <is>
          <t>[-32,12]</t>
        </is>
      </c>
      <c r="I45" s="104" t="n">
        <v>0.1</v>
      </c>
      <c r="J45" s="86" t="inlineStr">
        <is>
          <t>dB</t>
        </is>
      </c>
      <c r="K45" s="103" t="n"/>
      <c r="L45" s="86" t="inlineStr">
        <is>
          <t>value=param*0.1-32</t>
        </is>
      </c>
      <c r="M45" s="5" t="n"/>
      <c r="N45" s="5" t="n"/>
      <c r="O45" s="76" t="n"/>
    </row>
    <row r="46" ht="18.04511278195489" customHeight="1">
      <c r="A46" s="8">
        <f>A45+1</f>
        <v/>
      </c>
      <c r="B46" s="77">
        <f>CONCATENATE("0x",DEC2HEX(C46,4))</f>
        <v/>
      </c>
      <c r="C46" s="78">
        <f>A46+HEX2DEC("2000")</f>
        <v/>
      </c>
      <c r="D46" s="128" t="n"/>
      <c r="E46" s="86" t="inlineStr">
        <is>
          <t>Band-1</t>
        </is>
      </c>
      <c r="F46" s="86" t="inlineStr">
        <is>
          <t>Q</t>
        </is>
      </c>
      <c r="G46" s="86" t="n">
        <v>7</v>
      </c>
      <c r="H46" s="86" t="inlineStr">
        <is>
          <t>[0.1,12]</t>
        </is>
      </c>
      <c r="I46" s="104" t="n">
        <v>0.1</v>
      </c>
      <c r="J46" s="103" t="n"/>
      <c r="K46" s="103" t="n"/>
      <c r="L46" s="86" t="inlineStr">
        <is>
          <t>value=param/10</t>
        </is>
      </c>
      <c r="M46" s="5" t="n"/>
      <c r="N46" s="5" t="n"/>
      <c r="O46" s="76" t="n"/>
    </row>
    <row r="47" ht="18.04511278195489" customHeight="1">
      <c r="A47" s="8">
        <f>A46+1</f>
        <v/>
      </c>
      <c r="B47" s="77">
        <f>CONCATENATE("0x",DEC2HEX(C47,4))</f>
        <v/>
      </c>
      <c r="C47" s="78">
        <f>A47+HEX2DEC("2000")</f>
        <v/>
      </c>
      <c r="D47" s="128" t="n"/>
      <c r="E47" s="105" t="inlineStr">
        <is>
          <t>Band-2</t>
        </is>
      </c>
      <c r="F47" s="105" t="inlineStr">
        <is>
          <t>Enable</t>
        </is>
      </c>
      <c r="G47" s="105" t="n">
        <v>1</v>
      </c>
      <c r="H47" s="105" t="inlineStr">
        <is>
          <t>[0,1]</t>
        </is>
      </c>
      <c r="I47" s="105" t="n">
        <v>1</v>
      </c>
      <c r="J47" s="106" t="n"/>
      <c r="K47" s="105">
        <f>IF(G47=0,"Disable","Enable")</f>
        <v/>
      </c>
      <c r="L47" s="106" t="n"/>
      <c r="M47" s="5" t="n"/>
      <c r="N47" s="5" t="n"/>
      <c r="O47" s="76" t="n"/>
    </row>
    <row r="48" ht="18.04511278195489" customHeight="1">
      <c r="A48" s="8">
        <f>A47+1</f>
        <v/>
      </c>
      <c r="B48" s="77">
        <f>CONCATENATE("0x",DEC2HEX(C48,4))</f>
        <v/>
      </c>
      <c r="C48" s="78">
        <f>A48+HEX2DEC("2000")</f>
        <v/>
      </c>
      <c r="D48" s="128" t="n"/>
      <c r="E48" s="105" t="inlineStr">
        <is>
          <t>Band-2</t>
        </is>
      </c>
      <c r="F48" s="105" t="inlineStr">
        <is>
          <t>Type</t>
        </is>
      </c>
      <c r="G48" s="105" t="n">
        <v>3</v>
      </c>
      <c r="H48" s="105" t="inlineStr">
        <is>
          <t>[0,4]</t>
        </is>
      </c>
      <c r="I48" s="105" t="n">
        <v>0</v>
      </c>
      <c r="J48" s="106" t="n"/>
      <c r="K48" s="105">
        <f>IF(G48=0,"Peak",IF(G48=1,"LS",IF(G48=2,"HS",IF(G48=3,"LPF","HPF"))))</f>
        <v/>
      </c>
      <c r="L48" s="106" t="n"/>
      <c r="M48" s="5" t="n"/>
      <c r="N48" s="5" t="n"/>
      <c r="O48" s="76" t="n"/>
    </row>
    <row r="49" ht="18.04511278195489" customHeight="1">
      <c r="A49" s="8">
        <f>A48+1</f>
        <v/>
      </c>
      <c r="B49" s="77">
        <f>CONCATENATE("0x",DEC2HEX(C49,4))</f>
        <v/>
      </c>
      <c r="C49" s="78">
        <f>A49+HEX2DEC("2000")</f>
        <v/>
      </c>
      <c r="D49" s="128" t="n"/>
      <c r="E49" s="105" t="inlineStr">
        <is>
          <t>Band-2</t>
        </is>
      </c>
      <c r="F49" s="105" t="inlineStr">
        <is>
          <t>Freq</t>
        </is>
      </c>
      <c r="G49" s="105" t="n">
        <v>20000</v>
      </c>
      <c r="H49" s="105" t="inlineStr">
        <is>
          <t>[20,20000]</t>
        </is>
      </c>
      <c r="I49" s="105" t="n">
        <v>1</v>
      </c>
      <c r="J49" s="105" t="inlineStr">
        <is>
          <t>Hz</t>
        </is>
      </c>
      <c r="K49" s="106" t="n"/>
      <c r="L49" s="106" t="n"/>
      <c r="M49" s="5" t="n"/>
      <c r="N49" s="5" t="n"/>
      <c r="O49" s="76" t="n"/>
    </row>
    <row r="50" ht="18.04511278195489" customHeight="1">
      <c r="A50" s="8">
        <f>A49+1</f>
        <v/>
      </c>
      <c r="B50" s="77">
        <f>CONCATENATE("0x",DEC2HEX(C50,4))</f>
        <v/>
      </c>
      <c r="C50" s="78">
        <f>A50+HEX2DEC("2000")</f>
        <v/>
      </c>
      <c r="D50" s="128" t="n"/>
      <c r="E50" s="105" t="inlineStr">
        <is>
          <t>Band-2</t>
        </is>
      </c>
      <c r="F50" s="105" t="inlineStr">
        <is>
          <t>Gain</t>
        </is>
      </c>
      <c r="G50" s="105" t="n">
        <v>320</v>
      </c>
      <c r="H50" s="105" t="inlineStr">
        <is>
          <t>[-32,12]</t>
        </is>
      </c>
      <c r="I50" s="107" t="n">
        <v>0.1</v>
      </c>
      <c r="J50" s="105" t="inlineStr">
        <is>
          <t>dB</t>
        </is>
      </c>
      <c r="K50" s="106" t="n"/>
      <c r="L50" s="105" t="inlineStr">
        <is>
          <t>value=param*0.1-32</t>
        </is>
      </c>
      <c r="M50" s="5" t="n"/>
      <c r="N50" s="5" t="n"/>
      <c r="O50" s="76" t="n"/>
    </row>
    <row r="51" ht="18.04511278195489" customHeight="1">
      <c r="A51" s="8">
        <f>A50+1</f>
        <v/>
      </c>
      <c r="B51" s="77">
        <f>CONCATENATE("0x",DEC2HEX(C51,4))</f>
        <v/>
      </c>
      <c r="C51" s="78">
        <f>A51+HEX2DEC("2000")</f>
        <v/>
      </c>
      <c r="D51" s="128" t="n"/>
      <c r="E51" s="105" t="inlineStr">
        <is>
          <t>Band-2</t>
        </is>
      </c>
      <c r="F51" s="105" t="inlineStr">
        <is>
          <t>Q</t>
        </is>
      </c>
      <c r="G51" s="105" t="n">
        <v>7</v>
      </c>
      <c r="H51" s="105" t="inlineStr">
        <is>
          <t>[0.1,12]</t>
        </is>
      </c>
      <c r="I51" s="107" t="n">
        <v>0.1</v>
      </c>
      <c r="J51" s="106" t="n"/>
      <c r="K51" s="106" t="n"/>
      <c r="L51" s="105" t="inlineStr">
        <is>
          <t>value=param/10</t>
        </is>
      </c>
      <c r="M51" s="5" t="n"/>
      <c r="N51" s="5" t="n"/>
      <c r="O51" s="76" t="n"/>
    </row>
    <row r="52" ht="18.04511278195489" customHeight="1">
      <c r="A52" s="8">
        <f>A51+1</f>
        <v/>
      </c>
      <c r="B52" s="77">
        <f>CONCATENATE("0x",DEC2HEX(C52,4))</f>
        <v/>
      </c>
      <c r="C52" s="78">
        <f>A52+HEX2DEC("2000")</f>
        <v/>
      </c>
      <c r="D52" s="128" t="n"/>
      <c r="E52" s="86" t="inlineStr">
        <is>
          <t>Band-3</t>
        </is>
      </c>
      <c r="F52" s="86" t="inlineStr">
        <is>
          <t>Enable</t>
        </is>
      </c>
      <c r="G52" s="86" t="n">
        <v>1</v>
      </c>
      <c r="H52" s="86" t="inlineStr">
        <is>
          <t>[0,1]</t>
        </is>
      </c>
      <c r="I52" s="86" t="n">
        <v>1</v>
      </c>
      <c r="J52" s="103" t="n"/>
      <c r="K52" s="86">
        <f>IF(G52=0,"Disable","Enable")</f>
        <v/>
      </c>
      <c r="L52" s="103" t="n"/>
      <c r="M52" s="5" t="n"/>
      <c r="N52" s="5" t="n"/>
      <c r="O52" s="76" t="n"/>
    </row>
    <row r="53" ht="18.04511278195489" customHeight="1">
      <c r="A53" s="8">
        <f>A52+1</f>
        <v/>
      </c>
      <c r="B53" s="77">
        <f>CONCATENATE("0x",DEC2HEX(C53,4))</f>
        <v/>
      </c>
      <c r="C53" s="78">
        <f>A53+HEX2DEC("2000")</f>
        <v/>
      </c>
      <c r="D53" s="128" t="n"/>
      <c r="E53" s="86" t="inlineStr">
        <is>
          <t>Band-3</t>
        </is>
      </c>
      <c r="F53" s="86" t="inlineStr">
        <is>
          <t>Type</t>
        </is>
      </c>
      <c r="G53" s="86" t="n">
        <v>0</v>
      </c>
      <c r="H53" s="86" t="inlineStr">
        <is>
          <t>[0,4]</t>
        </is>
      </c>
      <c r="I53" s="86" t="n">
        <v>0</v>
      </c>
      <c r="J53" s="103" t="n"/>
      <c r="K53" s="86">
        <f>IF(G53=0,"Peak",IF(G53=1,"LS",IF(G53=2,"HS",IF(G53=3,"LPF","HPF"))))</f>
        <v/>
      </c>
      <c r="L53" s="103" t="n"/>
      <c r="M53" s="5" t="n"/>
      <c r="N53" s="5" t="n"/>
      <c r="O53" s="76" t="n"/>
    </row>
    <row r="54" ht="18.04511278195489" customHeight="1">
      <c r="A54" s="8">
        <f>A53+1</f>
        <v/>
      </c>
      <c r="B54" s="77">
        <f>CONCATENATE("0x",DEC2HEX(C54,4))</f>
        <v/>
      </c>
      <c r="C54" s="78">
        <f>A54+HEX2DEC("2000")</f>
        <v/>
      </c>
      <c r="D54" s="128" t="n"/>
      <c r="E54" s="86" t="inlineStr">
        <is>
          <t>Band-3</t>
        </is>
      </c>
      <c r="F54" s="86" t="inlineStr">
        <is>
          <t>Freq</t>
        </is>
      </c>
      <c r="G54" s="86" t="n">
        <v>215</v>
      </c>
      <c r="H54" s="86" t="inlineStr">
        <is>
          <t>[20,20000]</t>
        </is>
      </c>
      <c r="I54" s="86" t="n">
        <v>1</v>
      </c>
      <c r="J54" s="86" t="inlineStr">
        <is>
          <t>Hz</t>
        </is>
      </c>
      <c r="K54" s="103" t="n"/>
      <c r="L54" s="103" t="n"/>
      <c r="M54" s="5" t="n"/>
      <c r="N54" s="5" t="n"/>
      <c r="O54" s="76" t="n"/>
    </row>
    <row r="55" ht="18.04511278195489" customHeight="1">
      <c r="A55" s="8">
        <f>A54+1</f>
        <v/>
      </c>
      <c r="B55" s="77">
        <f>CONCATENATE("0x",DEC2HEX(C55,4))</f>
        <v/>
      </c>
      <c r="C55" s="78">
        <f>A55+HEX2DEC("2000")</f>
        <v/>
      </c>
      <c r="D55" s="128" t="n"/>
      <c r="E55" s="86" t="inlineStr">
        <is>
          <t>Band-3</t>
        </is>
      </c>
      <c r="F55" s="86" t="inlineStr">
        <is>
          <t>Gain</t>
        </is>
      </c>
      <c r="G55" s="86" t="n">
        <v>285</v>
      </c>
      <c r="H55" s="86" t="inlineStr">
        <is>
          <t>[-32,12]</t>
        </is>
      </c>
      <c r="I55" s="104" t="n">
        <v>0.1</v>
      </c>
      <c r="J55" s="86" t="inlineStr">
        <is>
          <t>dB</t>
        </is>
      </c>
      <c r="K55" s="103" t="n"/>
      <c r="L55" s="86" t="inlineStr">
        <is>
          <t>value=param*0.1-32</t>
        </is>
      </c>
      <c r="M55" s="5" t="n"/>
      <c r="N55" s="5" t="n"/>
      <c r="O55" s="76" t="n"/>
    </row>
    <row r="56" ht="18.04511278195489" customHeight="1">
      <c r="A56" s="8">
        <f>A55+1</f>
        <v/>
      </c>
      <c r="B56" s="77">
        <f>CONCATENATE("0x",DEC2HEX(C56,4))</f>
        <v/>
      </c>
      <c r="C56" s="78">
        <f>A56+HEX2DEC("2000")</f>
        <v/>
      </c>
      <c r="D56" s="128" t="n"/>
      <c r="E56" s="86" t="inlineStr">
        <is>
          <t>Band-3</t>
        </is>
      </c>
      <c r="F56" s="86" t="inlineStr">
        <is>
          <t>Q</t>
        </is>
      </c>
      <c r="G56" s="86" t="n">
        <v>8</v>
      </c>
      <c r="H56" s="86" t="inlineStr">
        <is>
          <t>[0.1,12]</t>
        </is>
      </c>
      <c r="I56" s="104" t="n">
        <v>0.1</v>
      </c>
      <c r="J56" s="103" t="n"/>
      <c r="K56" s="103" t="n"/>
      <c r="L56" s="86" t="inlineStr">
        <is>
          <t>value=param/10</t>
        </is>
      </c>
      <c r="M56" s="5" t="n"/>
      <c r="N56" s="5" t="n"/>
      <c r="O56" s="76" t="n"/>
    </row>
    <row r="57" ht="18.04511278195489" customHeight="1">
      <c r="A57" s="8">
        <f>A56+1</f>
        <v/>
      </c>
      <c r="B57" s="77">
        <f>CONCATENATE("0x",DEC2HEX(C57,4))</f>
        <v/>
      </c>
      <c r="C57" s="78">
        <f>A57+HEX2DEC("2000")</f>
        <v/>
      </c>
      <c r="D57" s="128" t="n"/>
      <c r="E57" s="105" t="inlineStr">
        <is>
          <t>Band-4</t>
        </is>
      </c>
      <c r="F57" s="105" t="inlineStr">
        <is>
          <t>Enable</t>
        </is>
      </c>
      <c r="G57" s="105" t="n">
        <v>1</v>
      </c>
      <c r="H57" s="105" t="inlineStr">
        <is>
          <t>[0,1]</t>
        </is>
      </c>
      <c r="I57" s="105" t="n">
        <v>1</v>
      </c>
      <c r="J57" s="106" t="n"/>
      <c r="K57" s="105">
        <f>IF(G57=0,"Disable","Enable")</f>
        <v/>
      </c>
      <c r="L57" s="106" t="n"/>
      <c r="M57" s="5" t="n"/>
      <c r="N57" s="5" t="n"/>
      <c r="O57" s="76" t="n"/>
    </row>
    <row r="58" ht="18.04511278195489" customHeight="1">
      <c r="A58" s="8">
        <f>A57+1</f>
        <v/>
      </c>
      <c r="B58" s="77">
        <f>CONCATENATE("0x",DEC2HEX(C58,4))</f>
        <v/>
      </c>
      <c r="C58" s="78">
        <f>A58+HEX2DEC("2000")</f>
        <v/>
      </c>
      <c r="D58" s="128" t="n"/>
      <c r="E58" s="105" t="inlineStr">
        <is>
          <t>Band-4</t>
        </is>
      </c>
      <c r="F58" s="105" t="inlineStr">
        <is>
          <t>Type</t>
        </is>
      </c>
      <c r="G58" s="105" t="n">
        <v>0</v>
      </c>
      <c r="H58" s="105" t="inlineStr">
        <is>
          <t>[0,4]</t>
        </is>
      </c>
      <c r="I58" s="105" t="n">
        <v>0</v>
      </c>
      <c r="J58" s="106" t="n"/>
      <c r="K58" s="105">
        <f>IF(G58=0,"Peak",IF(G58=1,"LS",IF(G58=2,"HS",IF(G58=3,"LPF","HPF"))))</f>
        <v/>
      </c>
      <c r="L58" s="106" t="n"/>
      <c r="M58" s="5" t="n"/>
      <c r="N58" s="5" t="n"/>
      <c r="O58" s="76" t="n"/>
    </row>
    <row r="59" ht="18.04511278195489" customHeight="1">
      <c r="A59" s="8">
        <f>A58+1</f>
        <v/>
      </c>
      <c r="B59" s="77">
        <f>CONCATENATE("0x",DEC2HEX(C59,4))</f>
        <v/>
      </c>
      <c r="C59" s="78">
        <f>A59+HEX2DEC("2000")</f>
        <v/>
      </c>
      <c r="D59" s="128" t="n"/>
      <c r="E59" s="105" t="inlineStr">
        <is>
          <t>Band-4</t>
        </is>
      </c>
      <c r="F59" s="105" t="inlineStr">
        <is>
          <t>Freq</t>
        </is>
      </c>
      <c r="G59" s="105" t="n">
        <v>1000</v>
      </c>
      <c r="H59" s="105" t="inlineStr">
        <is>
          <t>[20,20000]</t>
        </is>
      </c>
      <c r="I59" s="105" t="n">
        <v>1</v>
      </c>
      <c r="J59" s="105" t="inlineStr">
        <is>
          <t>Hz</t>
        </is>
      </c>
      <c r="K59" s="106" t="n"/>
      <c r="L59" s="106" t="n"/>
      <c r="M59" s="5" t="n"/>
      <c r="N59" s="5" t="n"/>
      <c r="O59" s="76" t="n"/>
    </row>
    <row r="60" ht="18.04511278195489" customHeight="1">
      <c r="A60" s="8">
        <f>A59+1</f>
        <v/>
      </c>
      <c r="B60" s="77">
        <f>CONCATENATE("0x",DEC2HEX(C60,4))</f>
        <v/>
      </c>
      <c r="C60" s="78">
        <f>A60+HEX2DEC("2000")</f>
        <v/>
      </c>
      <c r="D60" s="128" t="n"/>
      <c r="E60" s="105" t="inlineStr">
        <is>
          <t>Band-4</t>
        </is>
      </c>
      <c r="F60" s="105" t="inlineStr">
        <is>
          <t>Gain</t>
        </is>
      </c>
      <c r="G60" s="105" t="n">
        <v>320</v>
      </c>
      <c r="H60" s="105" t="inlineStr">
        <is>
          <t>[-32,12]</t>
        </is>
      </c>
      <c r="I60" s="107" t="n">
        <v>0.1</v>
      </c>
      <c r="J60" s="105" t="inlineStr">
        <is>
          <t>dB</t>
        </is>
      </c>
      <c r="K60" s="106" t="n"/>
      <c r="L60" s="105" t="inlineStr">
        <is>
          <t>value=param*0.1-32</t>
        </is>
      </c>
      <c r="M60" s="5" t="n"/>
      <c r="N60" s="5" t="n"/>
      <c r="O60" s="76" t="n"/>
    </row>
    <row r="61" ht="18.04511278195489" customHeight="1">
      <c r="A61" s="8">
        <f>A60+1</f>
        <v/>
      </c>
      <c r="B61" s="77">
        <f>CONCATENATE("0x",DEC2HEX(C61,4))</f>
        <v/>
      </c>
      <c r="C61" s="78">
        <f>A61+HEX2DEC("2000")</f>
        <v/>
      </c>
      <c r="D61" s="128" t="n"/>
      <c r="E61" s="105" t="inlineStr">
        <is>
          <t>Band-4</t>
        </is>
      </c>
      <c r="F61" s="105" t="inlineStr">
        <is>
          <t>Q</t>
        </is>
      </c>
      <c r="G61" s="105" t="n">
        <v>15</v>
      </c>
      <c r="H61" s="105" t="inlineStr">
        <is>
          <t>[0.1,12]</t>
        </is>
      </c>
      <c r="I61" s="107" t="n">
        <v>0.1</v>
      </c>
      <c r="J61" s="106" t="n"/>
      <c r="K61" s="106" t="n"/>
      <c r="L61" s="105" t="inlineStr">
        <is>
          <t>value=param/10</t>
        </is>
      </c>
      <c r="M61" s="5" t="n"/>
      <c r="N61" s="5" t="n"/>
      <c r="O61" s="76" t="n"/>
    </row>
    <row r="62" ht="18.04511278195489" customHeight="1">
      <c r="A62" s="8">
        <f>A61+1</f>
        <v/>
      </c>
      <c r="B62" s="77">
        <f>CONCATENATE("0x",DEC2HEX(C62,4))</f>
        <v/>
      </c>
      <c r="C62" s="78">
        <f>A62+HEX2DEC("2000")</f>
        <v/>
      </c>
      <c r="D62" s="128" t="n"/>
      <c r="E62" s="86" t="inlineStr">
        <is>
          <t>Band-5</t>
        </is>
      </c>
      <c r="F62" s="86" t="inlineStr">
        <is>
          <t>Enable</t>
        </is>
      </c>
      <c r="G62" s="86" t="n">
        <v>1</v>
      </c>
      <c r="H62" s="86" t="inlineStr">
        <is>
          <t>[0,1]</t>
        </is>
      </c>
      <c r="I62" s="86" t="n">
        <v>1</v>
      </c>
      <c r="J62" s="103" t="n"/>
      <c r="K62" s="86">
        <f>IF(G62=0,"Disable","Enable")</f>
        <v/>
      </c>
      <c r="L62" s="103" t="n"/>
      <c r="M62" s="5" t="n"/>
      <c r="N62" s="5" t="n"/>
      <c r="O62" s="76" t="n"/>
    </row>
    <row r="63" ht="18.04511278195489" customHeight="1">
      <c r="A63" s="8">
        <f>A62+1</f>
        <v/>
      </c>
      <c r="B63" s="77">
        <f>CONCATENATE("0x",DEC2HEX(C63,4))</f>
        <v/>
      </c>
      <c r="C63" s="78">
        <f>A63+HEX2DEC("2000")</f>
        <v/>
      </c>
      <c r="D63" s="128" t="n"/>
      <c r="E63" s="86" t="inlineStr">
        <is>
          <t>Band-5</t>
        </is>
      </c>
      <c r="F63" s="86" t="inlineStr">
        <is>
          <t>Type</t>
        </is>
      </c>
      <c r="G63" s="86" t="n">
        <v>0</v>
      </c>
      <c r="H63" s="86" t="inlineStr">
        <is>
          <t>[0,4]</t>
        </is>
      </c>
      <c r="I63" s="86" t="n">
        <v>0</v>
      </c>
      <c r="J63" s="103" t="n"/>
      <c r="K63" s="86">
        <f>IF(G63=0,"Peak",IF(G63=1,"LS",IF(G63=2,"HS",IF(G63=3,"LPF","HPF"))))</f>
        <v/>
      </c>
      <c r="L63" s="103" t="n"/>
      <c r="M63" s="5" t="n"/>
      <c r="N63" s="5" t="n"/>
      <c r="O63" s="76" t="n"/>
    </row>
    <row r="64" ht="18.04511278195489" customHeight="1">
      <c r="A64" s="8">
        <f>A63+1</f>
        <v/>
      </c>
      <c r="B64" s="77">
        <f>CONCATENATE("0x",DEC2HEX(C64,4))</f>
        <v/>
      </c>
      <c r="C64" s="78">
        <f>A64+HEX2DEC("2000")</f>
        <v/>
      </c>
      <c r="D64" s="128" t="n"/>
      <c r="E64" s="86" t="inlineStr">
        <is>
          <t>Band-5</t>
        </is>
      </c>
      <c r="F64" s="86" t="inlineStr">
        <is>
          <t>Freq</t>
        </is>
      </c>
      <c r="G64" s="86" t="n">
        <v>2000</v>
      </c>
      <c r="H64" s="86" t="inlineStr">
        <is>
          <t>[20,20000]</t>
        </is>
      </c>
      <c r="I64" s="86" t="n">
        <v>1</v>
      </c>
      <c r="J64" s="86" t="inlineStr">
        <is>
          <t>Hz</t>
        </is>
      </c>
      <c r="K64" s="103" t="n"/>
      <c r="L64" s="103" t="n"/>
      <c r="M64" s="5" t="n"/>
      <c r="N64" s="5" t="n"/>
      <c r="O64" s="76" t="n"/>
    </row>
    <row r="65" ht="18.04511278195489" customHeight="1">
      <c r="A65" s="8">
        <f>A64+1</f>
        <v/>
      </c>
      <c r="B65" s="77">
        <f>CONCATENATE("0x",DEC2HEX(C65,4))</f>
        <v/>
      </c>
      <c r="C65" s="78">
        <f>A65+HEX2DEC("2000")</f>
        <v/>
      </c>
      <c r="D65" s="128" t="n"/>
      <c r="E65" s="86" t="inlineStr">
        <is>
          <t>Band-5</t>
        </is>
      </c>
      <c r="F65" s="86" t="inlineStr">
        <is>
          <t>Gain</t>
        </is>
      </c>
      <c r="G65" s="86" t="n">
        <v>320</v>
      </c>
      <c r="H65" s="86" t="inlineStr">
        <is>
          <t>[-32,12]</t>
        </is>
      </c>
      <c r="I65" s="104" t="n">
        <v>0.1</v>
      </c>
      <c r="J65" s="86" t="inlineStr">
        <is>
          <t>dB</t>
        </is>
      </c>
      <c r="K65" s="103" t="n"/>
      <c r="L65" s="86" t="inlineStr">
        <is>
          <t>value=param*0.1-32</t>
        </is>
      </c>
      <c r="M65" s="5" t="n"/>
      <c r="N65" s="5" t="n"/>
      <c r="O65" s="76" t="n"/>
    </row>
    <row r="66" ht="18.04511278195489" customHeight="1">
      <c r="A66" s="8">
        <f>A65+1</f>
        <v/>
      </c>
      <c r="B66" s="77">
        <f>CONCATENATE("0x",DEC2HEX(C66,4))</f>
        <v/>
      </c>
      <c r="C66" s="78">
        <f>A66+HEX2DEC("2000")</f>
        <v/>
      </c>
      <c r="D66" s="128" t="n"/>
      <c r="E66" s="86" t="inlineStr">
        <is>
          <t>Band-5</t>
        </is>
      </c>
      <c r="F66" s="86" t="inlineStr">
        <is>
          <t>Q</t>
        </is>
      </c>
      <c r="G66" s="86" t="n">
        <v>10</v>
      </c>
      <c r="H66" s="86" t="inlineStr">
        <is>
          <t>[0.1,12]</t>
        </is>
      </c>
      <c r="I66" s="104" t="n">
        <v>0.1</v>
      </c>
      <c r="J66" s="103" t="n"/>
      <c r="K66" s="103" t="n"/>
      <c r="L66" s="86" t="inlineStr">
        <is>
          <t>value=param/10</t>
        </is>
      </c>
      <c r="M66" s="5" t="n"/>
      <c r="N66" s="5" t="n"/>
      <c r="O66" s="76" t="n"/>
    </row>
    <row r="67" ht="18.04511278195489" customHeight="1">
      <c r="A67" s="8">
        <f>A66+1</f>
        <v/>
      </c>
      <c r="B67" s="77">
        <f>CONCATENATE("0x",DEC2HEX(C67,4))</f>
        <v/>
      </c>
      <c r="C67" s="78">
        <f>A67+HEX2DEC("2000")</f>
        <v/>
      </c>
      <c r="D67" s="128" t="n"/>
      <c r="E67" s="105" t="inlineStr">
        <is>
          <t>Band-6</t>
        </is>
      </c>
      <c r="F67" s="105" t="inlineStr">
        <is>
          <t>Enable</t>
        </is>
      </c>
      <c r="G67" s="105" t="n">
        <v>1</v>
      </c>
      <c r="H67" s="105" t="inlineStr">
        <is>
          <t>[0,1]</t>
        </is>
      </c>
      <c r="I67" s="105" t="n">
        <v>1</v>
      </c>
      <c r="J67" s="106" t="n"/>
      <c r="K67" s="105">
        <f>IF(G67=0,"Disable","Enable")</f>
        <v/>
      </c>
      <c r="L67" s="106" t="n"/>
      <c r="M67" s="5" t="n"/>
      <c r="N67" s="5" t="n"/>
      <c r="O67" s="76" t="n"/>
    </row>
    <row r="68" ht="18.04511278195489" customHeight="1">
      <c r="A68" s="8">
        <f>A67+1</f>
        <v/>
      </c>
      <c r="B68" s="77">
        <f>CONCATENATE("0x",DEC2HEX(C68,4))</f>
        <v/>
      </c>
      <c r="C68" s="78">
        <f>A68+HEX2DEC("2000")</f>
        <v/>
      </c>
      <c r="D68" s="128" t="n"/>
      <c r="E68" s="105" t="inlineStr">
        <is>
          <t>Band-6</t>
        </is>
      </c>
      <c r="F68" s="105" t="inlineStr">
        <is>
          <t>Type</t>
        </is>
      </c>
      <c r="G68" s="105" t="n">
        <v>0</v>
      </c>
      <c r="H68" s="105" t="inlineStr">
        <is>
          <t>[0,4]</t>
        </is>
      </c>
      <c r="I68" s="105" t="n">
        <v>0</v>
      </c>
      <c r="J68" s="106" t="n"/>
      <c r="K68" s="105">
        <f>IF(G68=0,"Peak",IF(G68=1,"LS",IF(G68=2,"HS",IF(G68=3,"LPF","HPF"))))</f>
        <v/>
      </c>
      <c r="L68" s="106" t="n"/>
      <c r="M68" s="5" t="n"/>
      <c r="N68" s="5" t="n"/>
      <c r="O68" s="76" t="n"/>
    </row>
    <row r="69" ht="18.04511278195489" customHeight="1">
      <c r="A69" s="8">
        <f>A68+1</f>
        <v/>
      </c>
      <c r="B69" s="77">
        <f>CONCATENATE("0x",DEC2HEX(C69,4))</f>
        <v/>
      </c>
      <c r="C69" s="78">
        <f>A69+HEX2DEC("2000")</f>
        <v/>
      </c>
      <c r="D69" s="128" t="n"/>
      <c r="E69" s="105" t="inlineStr">
        <is>
          <t>Band-6</t>
        </is>
      </c>
      <c r="F69" s="105" t="inlineStr">
        <is>
          <t>Freq</t>
        </is>
      </c>
      <c r="G69" s="105" t="n">
        <v>5000</v>
      </c>
      <c r="H69" s="105" t="inlineStr">
        <is>
          <t>[20,20000]</t>
        </is>
      </c>
      <c r="I69" s="105" t="n">
        <v>1</v>
      </c>
      <c r="J69" s="105" t="inlineStr">
        <is>
          <t>Hz</t>
        </is>
      </c>
      <c r="K69" s="106" t="n"/>
      <c r="L69" s="106" t="n"/>
      <c r="M69" s="5" t="n"/>
      <c r="N69" s="5" t="n"/>
      <c r="O69" s="76" t="n"/>
    </row>
    <row r="70" ht="18.04511278195489" customHeight="1">
      <c r="A70" s="8">
        <f>A69+1</f>
        <v/>
      </c>
      <c r="B70" s="77">
        <f>CONCATENATE("0x",DEC2HEX(C70,4))</f>
        <v/>
      </c>
      <c r="C70" s="78">
        <f>A70+HEX2DEC("2000")</f>
        <v/>
      </c>
      <c r="D70" s="128" t="n"/>
      <c r="E70" s="105" t="inlineStr">
        <is>
          <t>Band-6</t>
        </is>
      </c>
      <c r="F70" s="105" t="inlineStr">
        <is>
          <t>Gain</t>
        </is>
      </c>
      <c r="G70" s="105" t="n">
        <v>320</v>
      </c>
      <c r="H70" s="105" t="inlineStr">
        <is>
          <t>[-32,12]</t>
        </is>
      </c>
      <c r="I70" s="107" t="n">
        <v>0.1</v>
      </c>
      <c r="J70" s="105" t="inlineStr">
        <is>
          <t>dB</t>
        </is>
      </c>
      <c r="K70" s="106" t="n"/>
      <c r="L70" s="105" t="inlineStr">
        <is>
          <t>value=param*0.1-32</t>
        </is>
      </c>
      <c r="M70" s="5" t="n"/>
      <c r="N70" s="5" t="n"/>
      <c r="O70" s="76" t="n"/>
    </row>
    <row r="71" ht="18.04511278195489" customHeight="1">
      <c r="A71" s="8">
        <f>A70+1</f>
        <v/>
      </c>
      <c r="B71" s="77">
        <f>CONCATENATE("0x",DEC2HEX(C71,4))</f>
        <v/>
      </c>
      <c r="C71" s="78">
        <f>A71+HEX2DEC("2000")</f>
        <v/>
      </c>
      <c r="D71" s="128" t="n"/>
      <c r="E71" s="105" t="inlineStr">
        <is>
          <t>Band-6</t>
        </is>
      </c>
      <c r="F71" s="105" t="inlineStr">
        <is>
          <t>Q</t>
        </is>
      </c>
      <c r="G71" s="105" t="n">
        <v>10</v>
      </c>
      <c r="H71" s="105" t="inlineStr">
        <is>
          <t>[0.1,12]</t>
        </is>
      </c>
      <c r="I71" s="107" t="n">
        <v>0.1</v>
      </c>
      <c r="J71" s="106" t="n"/>
      <c r="K71" s="106" t="n"/>
      <c r="L71" s="105" t="inlineStr">
        <is>
          <t>value=param/10</t>
        </is>
      </c>
      <c r="M71" s="5" t="n"/>
      <c r="N71" s="5" t="n"/>
      <c r="O71" s="76" t="n"/>
    </row>
    <row r="72" ht="18.04511278195489" customHeight="1">
      <c r="A72" s="8">
        <f>A71+1</f>
        <v/>
      </c>
      <c r="B72" s="77">
        <f>CONCATENATE("0x",DEC2HEX(C72,4))</f>
        <v/>
      </c>
      <c r="C72" s="78">
        <f>A72+HEX2DEC("2000")</f>
        <v/>
      </c>
      <c r="D72" s="128" t="n"/>
      <c r="E72" s="86" t="inlineStr">
        <is>
          <t>Band-7</t>
        </is>
      </c>
      <c r="F72" s="86" t="inlineStr">
        <is>
          <t>Enable</t>
        </is>
      </c>
      <c r="G72" s="86" t="n">
        <v>1</v>
      </c>
      <c r="H72" s="86" t="inlineStr">
        <is>
          <t>[0,1]</t>
        </is>
      </c>
      <c r="I72" s="86" t="n">
        <v>1</v>
      </c>
      <c r="J72" s="103" t="n"/>
      <c r="K72" s="86">
        <f>IF(G72=0,"Disable","Enable")</f>
        <v/>
      </c>
      <c r="L72" s="103" t="n"/>
      <c r="M72" s="5" t="n"/>
      <c r="N72" s="5" t="n"/>
      <c r="O72" s="76" t="n"/>
    </row>
    <row r="73" ht="18.04511278195489" customHeight="1">
      <c r="A73" s="8">
        <f>A72+1</f>
        <v/>
      </c>
      <c r="B73" s="77">
        <f>CONCATENATE("0x",DEC2HEX(C73,4))</f>
        <v/>
      </c>
      <c r="C73" s="78">
        <f>A73+HEX2DEC("2000")</f>
        <v/>
      </c>
      <c r="D73" s="128" t="n"/>
      <c r="E73" s="86" t="inlineStr">
        <is>
          <t>Band-7</t>
        </is>
      </c>
      <c r="F73" s="86" t="inlineStr">
        <is>
          <t>Type</t>
        </is>
      </c>
      <c r="G73" s="86" t="n">
        <v>0</v>
      </c>
      <c r="H73" s="86" t="inlineStr">
        <is>
          <t>[0,4]</t>
        </is>
      </c>
      <c r="I73" s="86" t="n">
        <v>0</v>
      </c>
      <c r="J73" s="103" t="n"/>
      <c r="K73" s="86">
        <f>IF(G73=0,"Peak",IF(G73=1,"LS",IF(G73=2,"HS",IF(G73=3,"LPF","HPF"))))</f>
        <v/>
      </c>
      <c r="L73" s="103" t="n"/>
      <c r="M73" s="5" t="n"/>
      <c r="N73" s="5" t="n"/>
      <c r="O73" s="76" t="n"/>
    </row>
    <row r="74" ht="18.04511278195489" customHeight="1">
      <c r="A74" s="8">
        <f>A73+1</f>
        <v/>
      </c>
      <c r="B74" s="77">
        <f>CONCATENATE("0x",DEC2HEX(C74,4))</f>
        <v/>
      </c>
      <c r="C74" s="78">
        <f>A74+HEX2DEC("2000")</f>
        <v/>
      </c>
      <c r="D74" s="128" t="n"/>
      <c r="E74" s="86" t="inlineStr">
        <is>
          <t>Band-7</t>
        </is>
      </c>
      <c r="F74" s="86" t="inlineStr">
        <is>
          <t>Freq</t>
        </is>
      </c>
      <c r="G74" s="86" t="n">
        <v>10000</v>
      </c>
      <c r="H74" s="86" t="inlineStr">
        <is>
          <t>[20,20000]</t>
        </is>
      </c>
      <c r="I74" s="86" t="n">
        <v>1</v>
      </c>
      <c r="J74" s="86" t="inlineStr">
        <is>
          <t>Hz</t>
        </is>
      </c>
      <c r="K74" s="103" t="n"/>
      <c r="L74" s="103" t="n"/>
      <c r="M74" s="5" t="n"/>
      <c r="N74" s="5" t="n"/>
      <c r="O74" s="76" t="n"/>
    </row>
    <row r="75" ht="18.04511278195489" customHeight="1">
      <c r="A75" s="8">
        <f>A74+1</f>
        <v/>
      </c>
      <c r="B75" s="77">
        <f>CONCATENATE("0x",DEC2HEX(C75,4))</f>
        <v/>
      </c>
      <c r="C75" s="78">
        <f>A75+HEX2DEC("2000")</f>
        <v/>
      </c>
      <c r="D75" s="128" t="n"/>
      <c r="E75" s="86" t="inlineStr">
        <is>
          <t>Band-7</t>
        </is>
      </c>
      <c r="F75" s="86" t="inlineStr">
        <is>
          <t>Gain</t>
        </is>
      </c>
      <c r="G75" s="86" t="n">
        <v>320</v>
      </c>
      <c r="H75" s="86" t="inlineStr">
        <is>
          <t>[-32,12]</t>
        </is>
      </c>
      <c r="I75" s="104" t="n">
        <v>0.1</v>
      </c>
      <c r="J75" s="86" t="inlineStr">
        <is>
          <t>dB</t>
        </is>
      </c>
      <c r="K75" s="103" t="n"/>
      <c r="L75" s="86" t="inlineStr">
        <is>
          <t>value=param*0.1-32</t>
        </is>
      </c>
      <c r="M75" s="5" t="n"/>
      <c r="N75" s="5" t="n"/>
      <c r="O75" s="76" t="n"/>
    </row>
    <row r="76" ht="18.04511278195489" customHeight="1">
      <c r="A76" s="8">
        <f>A75+1</f>
        <v/>
      </c>
      <c r="B76" s="77">
        <f>CONCATENATE("0x",DEC2HEX(C76,4))</f>
        <v/>
      </c>
      <c r="C76" s="78">
        <f>A76+HEX2DEC("2000")</f>
        <v/>
      </c>
      <c r="D76" s="123" t="n"/>
      <c r="E76" s="86" t="inlineStr">
        <is>
          <t>Band-7</t>
        </is>
      </c>
      <c r="F76" s="86" t="inlineStr">
        <is>
          <t>Q</t>
        </is>
      </c>
      <c r="G76" s="86" t="n">
        <v>7</v>
      </c>
      <c r="H76" s="86" t="inlineStr">
        <is>
          <t>[0.1,12]</t>
        </is>
      </c>
      <c r="I76" s="104" t="n">
        <v>0.1</v>
      </c>
      <c r="J76" s="103" t="n"/>
      <c r="K76" s="103" t="n"/>
      <c r="L76" s="86" t="inlineStr">
        <is>
          <t>value=param/10</t>
        </is>
      </c>
      <c r="M76" s="5" t="n"/>
      <c r="N76" s="5" t="n"/>
      <c r="O76" s="76" t="n"/>
    </row>
    <row r="77" ht="18.04511278195489" customHeight="1">
      <c r="A77" s="8">
        <f>A76+1</f>
        <v/>
      </c>
      <c r="B77" s="77">
        <f>CONCATENATE("0x",DEC2HEX(C77,4))</f>
        <v/>
      </c>
      <c r="C77" s="78">
        <f>A77+HEX2DEC("2000")</f>
        <v/>
      </c>
      <c r="E77" s="98" t="inlineStr">
        <is>
          <t>MIC</t>
        </is>
      </c>
      <c r="F77" s="98" t="inlineStr">
        <is>
          <t>Enable</t>
        </is>
      </c>
      <c r="G77" s="98" t="n">
        <v>0</v>
      </c>
      <c r="H77" s="82" t="inlineStr">
        <is>
          <t>[0,1]</t>
        </is>
      </c>
      <c r="I77" s="82" t="n">
        <v>1</v>
      </c>
      <c r="J77" s="81" t="n"/>
      <c r="K77" s="81">
        <f>IF(G77=0,"Disable","Enable")</f>
        <v/>
      </c>
      <c r="L77" s="98" t="n"/>
      <c r="M77" s="5" t="n"/>
      <c r="N77" s="5" t="n"/>
      <c r="O77" s="76" t="n"/>
    </row>
    <row r="78" ht="18.04511278195489" customHeight="1">
      <c r="A78" s="8">
        <f>A77+1</f>
        <v/>
      </c>
      <c r="B78" s="77">
        <f>CONCATENATE("0x",DEC2HEX(C78,4))</f>
        <v/>
      </c>
      <c r="C78" s="78">
        <f>A78+HEX2DEC("2000")</f>
        <v/>
      </c>
      <c r="E78" s="98" t="inlineStr">
        <is>
          <t>MIC</t>
        </is>
      </c>
      <c r="F78" s="98" t="inlineStr">
        <is>
          <t>MakeUpGain</t>
        </is>
      </c>
      <c r="G78" s="98" t="n">
        <v>0</v>
      </c>
      <c r="H78" s="82" t="inlineStr">
        <is>
          <t>[0,60]</t>
        </is>
      </c>
      <c r="I78" s="82" t="n">
        <v>0.1</v>
      </c>
      <c r="J78" s="81" t="inlineStr">
        <is>
          <t>dB</t>
        </is>
      </c>
      <c r="K78" s="81" t="n"/>
      <c r="L78" s="98" t="inlineStr">
        <is>
          <t>value=param/10</t>
        </is>
      </c>
      <c r="M78" s="5" t="n"/>
      <c r="N78" s="5" t="n"/>
      <c r="O78" s="76" t="n"/>
    </row>
    <row r="79" ht="19.30827067669173" customHeight="1">
      <c r="A79" s="8">
        <f>A78+1</f>
        <v/>
      </c>
      <c r="B79" s="77">
        <f>CONCATENATE("0x",DEC2HEX(C79,4))</f>
        <v/>
      </c>
      <c r="C79" s="78">
        <f>A79+HEX2DEC("2000")</f>
        <v/>
      </c>
      <c r="E79" s="98" t="inlineStr">
        <is>
          <t>MIC</t>
        </is>
      </c>
      <c r="F79" s="98" t="inlineStr">
        <is>
          <t>Threshold</t>
        </is>
      </c>
      <c r="G79" s="98" t="n">
        <v>580</v>
      </c>
      <c r="H79" s="82" t="inlineStr">
        <is>
          <t xml:space="preserve">[-60,0] </t>
        </is>
      </c>
      <c r="I79" s="82" t="n">
        <v>0.1</v>
      </c>
      <c r="J79" s="81" t="inlineStr">
        <is>
          <t>dB</t>
        </is>
      </c>
      <c r="K79" s="81" t="n"/>
      <c r="L79" s="98" t="inlineStr">
        <is>
          <t>value=(param-600)/10</t>
        </is>
      </c>
      <c r="M79" s="5" t="n"/>
      <c r="N79" s="5" t="n"/>
      <c r="O79" s="76" t="n"/>
    </row>
    <row r="80" ht="19.30827067669173" customHeight="1">
      <c r="A80" s="8">
        <f>A79+1</f>
        <v/>
      </c>
      <c r="B80" s="77">
        <f>CONCATENATE("0x",DEC2HEX(C80,4))</f>
        <v/>
      </c>
      <c r="C80" s="78">
        <f>A80+HEX2DEC("2000")</f>
        <v/>
      </c>
      <c r="E80" s="98" t="inlineStr">
        <is>
          <t>MIC</t>
        </is>
      </c>
      <c r="F80" s="98" t="inlineStr">
        <is>
          <t>Attack</t>
        </is>
      </c>
      <c r="G80" s="98" t="n">
        <v>5</v>
      </c>
      <c r="H80" s="82" t="inlineStr">
        <is>
          <t xml:space="preserve">[0.0001,0.2] </t>
        </is>
      </c>
      <c r="I80" s="82" t="n">
        <v>0.0001</v>
      </c>
      <c r="J80" s="81" t="inlineStr">
        <is>
          <t>s</t>
        </is>
      </c>
      <c r="K80" s="81" t="n"/>
      <c r="L80" s="98" t="inlineStr">
        <is>
          <t>value=param/10000</t>
        </is>
      </c>
      <c r="M80" s="5" t="n"/>
      <c r="N80" s="5" t="n"/>
      <c r="O80" s="76" t="n"/>
    </row>
    <row r="81" ht="19.30827067669173" customHeight="1">
      <c r="A81" s="8">
        <f>A80+1</f>
        <v/>
      </c>
      <c r="B81" s="77">
        <f>CONCATENATE("0x",DEC2HEX(C81,4))</f>
        <v/>
      </c>
      <c r="C81" s="78">
        <f>A81+HEX2DEC("2000")</f>
        <v/>
      </c>
      <c r="E81" s="98" t="inlineStr">
        <is>
          <t>MIC</t>
        </is>
      </c>
      <c r="F81" s="98" t="inlineStr">
        <is>
          <t>Release</t>
        </is>
      </c>
      <c r="G81" s="98" t="n">
        <v>1000</v>
      </c>
      <c r="H81" s="82" t="inlineStr">
        <is>
          <t>[0.005,2]</t>
        </is>
      </c>
      <c r="I81" s="82" t="n">
        <v>0.0001</v>
      </c>
      <c r="J81" s="81" t="inlineStr">
        <is>
          <t>s</t>
        </is>
      </c>
      <c r="K81" s="81" t="n"/>
      <c r="L81" s="98" t="inlineStr">
        <is>
          <t>value=param/10000</t>
        </is>
      </c>
      <c r="M81" s="5" t="n"/>
      <c r="N81" s="5" t="n"/>
      <c r="O81" s="76" t="n"/>
    </row>
    <row r="82" ht="19.30827067669173" customHeight="1">
      <c r="A82" s="8">
        <f>A81+1</f>
        <v/>
      </c>
      <c r="B82" s="77">
        <f>CONCATENATE("0x",DEC2HEX(C82,4))</f>
        <v/>
      </c>
      <c r="C82" s="78">
        <f>A82+HEX2DEC("2000")</f>
        <v/>
      </c>
      <c r="E82" s="98" t="inlineStr">
        <is>
          <t>MIC</t>
        </is>
      </c>
      <c r="F82" s="98" t="inlineStr">
        <is>
          <t>Rate</t>
        </is>
      </c>
      <c r="G82" s="98" t="n">
        <v>60</v>
      </c>
      <c r="H82" s="82" t="inlineStr">
        <is>
          <t>[1,100]</t>
        </is>
      </c>
      <c r="I82" s="82" t="n">
        <v>0.1</v>
      </c>
      <c r="J82" s="81" t="n"/>
      <c r="K82" s="81" t="n"/>
      <c r="L82" s="98" t="inlineStr">
        <is>
          <t>value=param/10</t>
        </is>
      </c>
      <c r="M82" s="5" t="n"/>
      <c r="N82" s="5" t="n"/>
      <c r="O82" s="76" t="n"/>
    </row>
    <row r="83" ht="19.30827067669173" customHeight="1">
      <c r="A83" s="8">
        <f>A82+1</f>
        <v/>
      </c>
      <c r="B83" s="77">
        <f>CONCATENATE("0x",DEC2HEX(C83,4))</f>
        <v/>
      </c>
      <c r="C83" s="78">
        <f>A83+HEX2DEC("2000")</f>
        <v/>
      </c>
      <c r="E83" s="98" t="inlineStr">
        <is>
          <t>MIC</t>
        </is>
      </c>
      <c r="F83" s="98" t="inlineStr">
        <is>
          <t>KneeWidth</t>
        </is>
      </c>
      <c r="G83" s="98" t="n">
        <v>10</v>
      </c>
      <c r="H83" s="82" t="inlineStr">
        <is>
          <t>[0,60]</t>
        </is>
      </c>
      <c r="I83" s="82" t="n">
        <v>0.1</v>
      </c>
      <c r="J83" s="81" t="inlineStr">
        <is>
          <t>dB</t>
        </is>
      </c>
      <c r="K83" s="81" t="n"/>
      <c r="L83" s="98" t="inlineStr">
        <is>
          <t>value=param/10</t>
        </is>
      </c>
      <c r="M83" s="5" t="n"/>
      <c r="N83" s="5" t="n"/>
      <c r="O83" s="76" t="n"/>
    </row>
    <row r="84" ht="19.30827067669173" customHeight="1">
      <c r="A84" s="8">
        <f>A83+1</f>
        <v/>
      </c>
      <c r="B84" s="77">
        <f>CONCATENATE("0x",DEC2HEX(C84,4))</f>
        <v/>
      </c>
      <c r="C84" s="78">
        <f>A84+HEX2DEC("2000")</f>
        <v/>
      </c>
      <c r="E84" s="98" t="inlineStr">
        <is>
          <t>MIC</t>
        </is>
      </c>
      <c r="F84" s="98" t="inlineStr">
        <is>
          <t>Enable</t>
        </is>
      </c>
      <c r="G84" s="98" t="n">
        <v>0</v>
      </c>
      <c r="H84" s="82" t="inlineStr">
        <is>
          <t>[0,1]</t>
        </is>
      </c>
      <c r="I84" s="82" t="n">
        <v>1</v>
      </c>
      <c r="J84" s="81" t="n"/>
      <c r="K84" s="81">
        <f>IF(G84=0,"Disable","Enable")</f>
        <v/>
      </c>
      <c r="L84" s="98" t="n"/>
      <c r="M84" s="5" t="n"/>
      <c r="N84" s="5" t="n"/>
      <c r="O84" s="76" t="n"/>
    </row>
    <row r="85" ht="19.30827067669173" customHeight="1">
      <c r="A85" s="8">
        <f>A84+1</f>
        <v/>
      </c>
      <c r="B85" s="77">
        <f>CONCATENATE("0x",DEC2HEX(C85,4))</f>
        <v/>
      </c>
      <c r="C85" s="78">
        <f>A85+HEX2DEC("2000")</f>
        <v/>
      </c>
      <c r="E85" s="98" t="inlineStr">
        <is>
          <t>MIC</t>
        </is>
      </c>
      <c r="F85" s="98" t="inlineStr">
        <is>
          <t>preGain</t>
        </is>
      </c>
      <c r="G85" s="98" t="n">
        <v>0</v>
      </c>
      <c r="H85" s="82" t="inlineStr">
        <is>
          <t>0</t>
        </is>
      </c>
      <c r="I85" s="82" t="n">
        <v>0</v>
      </c>
      <c r="J85" s="81" t="inlineStr">
        <is>
          <t>dB</t>
        </is>
      </c>
      <c r="K85" s="81" t="n"/>
      <c r="L85" s="98" t="n"/>
      <c r="M85" s="5" t="n"/>
      <c r="N85" s="5" t="n"/>
      <c r="O85" s="76" t="n"/>
    </row>
    <row r="86" ht="19.30827067669173" customHeight="1">
      <c r="A86" s="8">
        <f>A85+1</f>
        <v/>
      </c>
      <c r="B86" s="77">
        <f>CONCATENATE("0x",DEC2HEX(C86,4))</f>
        <v/>
      </c>
      <c r="C86" s="78">
        <f>A86+HEX2DEC("2000")</f>
        <v/>
      </c>
      <c r="D86" s="108" t="n"/>
      <c r="E86" s="98" t="inlineStr">
        <is>
          <t>MIC</t>
        </is>
      </c>
      <c r="F86" s="98" t="inlineStr">
        <is>
          <t>Threshold</t>
        </is>
      </c>
      <c r="G86" s="98" t="n">
        <v>580</v>
      </c>
      <c r="H86" s="82" t="inlineStr">
        <is>
          <t xml:space="preserve">[-60,0] </t>
        </is>
      </c>
      <c r="I86" s="82" t="n">
        <v>0.1</v>
      </c>
      <c r="J86" s="81" t="inlineStr">
        <is>
          <t>dB</t>
        </is>
      </c>
      <c r="K86" s="81" t="n"/>
      <c r="L86" s="98" t="inlineStr">
        <is>
          <t>value=(param-600)/10</t>
        </is>
      </c>
      <c r="M86" s="5" t="n"/>
      <c r="N86" s="5" t="n"/>
      <c r="O86" s="76" t="n"/>
    </row>
    <row r="87" ht="19.30827067669173" customHeight="1">
      <c r="A87" s="8">
        <f>A86+1</f>
        <v/>
      </c>
      <c r="B87" s="77">
        <f>CONCATENATE("0x",DEC2HEX(C87,4))</f>
        <v/>
      </c>
      <c r="C87" s="78">
        <f>A87+HEX2DEC("2000")</f>
        <v/>
      </c>
      <c r="D87" s="108" t="n"/>
      <c r="E87" s="98" t="inlineStr">
        <is>
          <t>MIC</t>
        </is>
      </c>
      <c r="F87" s="98" t="inlineStr">
        <is>
          <t>Attack</t>
        </is>
      </c>
      <c r="G87" s="98" t="n">
        <v>5</v>
      </c>
      <c r="H87" s="82" t="inlineStr">
        <is>
          <t xml:space="preserve">[0.0001,0.2] </t>
        </is>
      </c>
      <c r="I87" s="82" t="n">
        <v>0.0001</v>
      </c>
      <c r="J87" s="81" t="inlineStr">
        <is>
          <t>s</t>
        </is>
      </c>
      <c r="K87" s="81" t="n"/>
      <c r="L87" s="98" t="inlineStr">
        <is>
          <t>value=param/10000</t>
        </is>
      </c>
      <c r="M87" s="5" t="n"/>
      <c r="N87" s="5" t="n"/>
      <c r="O87" s="76" t="n"/>
    </row>
    <row r="88" ht="19.30827067669173" customHeight="1">
      <c r="A88" s="8">
        <f>A87+1</f>
        <v/>
      </c>
      <c r="B88" s="77">
        <f>CONCATENATE("0x",DEC2HEX(C88,4))</f>
        <v/>
      </c>
      <c r="C88" s="78">
        <f>A88+HEX2DEC("2000")</f>
        <v/>
      </c>
      <c r="D88" s="108" t="n"/>
      <c r="E88" s="98" t="inlineStr">
        <is>
          <t>MIC</t>
        </is>
      </c>
      <c r="F88" s="98" t="inlineStr">
        <is>
          <t>Release</t>
        </is>
      </c>
      <c r="G88" s="98" t="n">
        <v>500</v>
      </c>
      <c r="H88" s="82" t="inlineStr">
        <is>
          <t>[0.005,2]</t>
        </is>
      </c>
      <c r="I88" s="82" t="n">
        <v>0.0001</v>
      </c>
      <c r="J88" s="81" t="inlineStr">
        <is>
          <t>s</t>
        </is>
      </c>
      <c r="K88" s="81" t="n"/>
      <c r="L88" s="98" t="inlineStr">
        <is>
          <t>value=param/10000</t>
        </is>
      </c>
      <c r="M88" s="5" t="n"/>
      <c r="N88" s="5" t="n"/>
      <c r="O88" s="76" t="n"/>
    </row>
    <row r="89" ht="19.30827067669173" customHeight="1">
      <c r="A89" s="8">
        <f>A88+1</f>
        <v/>
      </c>
      <c r="B89" s="77">
        <f>CONCATENATE("0x",DEC2HEX(C89,4))</f>
        <v/>
      </c>
      <c r="C89" s="78">
        <f>A89+HEX2DEC("2000")</f>
        <v/>
      </c>
      <c r="D89" s="109" t="n"/>
      <c r="E89" s="98" t="inlineStr">
        <is>
          <t>MIC</t>
        </is>
      </c>
      <c r="F89" s="98" t="inlineStr">
        <is>
          <t>Rate</t>
        </is>
      </c>
      <c r="G89" s="98" t="n">
        <v>0</v>
      </c>
      <c r="H89" s="82" t="inlineStr">
        <is>
          <t>0</t>
        </is>
      </c>
      <c r="I89" s="82" t="n">
        <v>0</v>
      </c>
      <c r="J89" s="81" t="n"/>
      <c r="K89" s="81" t="n"/>
      <c r="L89" s="98" t="inlineStr">
        <is>
          <t xml:space="preserve"> </t>
        </is>
      </c>
      <c r="M89" s="5" t="n"/>
      <c r="N89" s="5" t="n"/>
      <c r="O89" s="76" t="n"/>
    </row>
    <row r="90" ht="19.30827067669173" customHeight="1">
      <c r="A90" s="8">
        <f>A89+1</f>
        <v/>
      </c>
      <c r="B90" s="77">
        <f>CONCATENATE("0x",DEC2HEX(C90,4))</f>
        <v/>
      </c>
      <c r="C90" s="78">
        <f>A90+HEX2DEC("2000")</f>
        <v/>
      </c>
      <c r="D90" s="98" t="inlineStr">
        <is>
          <t>MIC电平指示</t>
        </is>
      </c>
      <c r="E90" s="98" t="inlineStr">
        <is>
          <t>MIC Sig</t>
        </is>
      </c>
      <c r="F90" s="101" t="inlineStr">
        <is>
          <t>Level</t>
        </is>
      </c>
      <c r="G90" s="98" t="n">
        <v>0</v>
      </c>
      <c r="H90" s="82" t="inlineStr">
        <is>
          <t>[0,256]</t>
        </is>
      </c>
      <c r="I90" s="82" t="n">
        <v>1</v>
      </c>
      <c r="J90" s="81" t="n"/>
      <c r="K90" s="81">
        <f>ROUND((G90),1)</f>
        <v/>
      </c>
      <c r="L90" s="98" t="inlineStr">
        <is>
          <t>value = param，颜色查看注释</t>
        </is>
      </c>
      <c r="M90" s="5" t="n"/>
      <c r="N90" s="5" t="n"/>
      <c r="O90" s="76" t="n"/>
    </row>
    <row r="91" ht="19.30827067669173" customHeight="1">
      <c r="A91" s="8">
        <f>A90+1</f>
        <v/>
      </c>
      <c r="B91" s="77">
        <f>CONCATENATE("0x",DEC2HEX(C91,4))</f>
        <v/>
      </c>
      <c r="C91" s="78">
        <f>A91+HEX2DEC("2000")</f>
        <v/>
      </c>
      <c r="D91" s="98" t="inlineStr">
        <is>
          <t>MIC电平信号静音</t>
        </is>
      </c>
      <c r="E91" s="98" t="inlineStr">
        <is>
          <t>MicSigLevelMute</t>
        </is>
      </c>
      <c r="F91" s="101" t="n"/>
      <c r="G91" s="98" t="n">
        <v>0</v>
      </c>
      <c r="H91" s="82" t="inlineStr">
        <is>
          <t>[0,1]</t>
        </is>
      </c>
      <c r="I91" s="82" t="n">
        <v>1</v>
      </c>
      <c r="J91" s="81" t="n"/>
      <c r="K91" s="81" t="n"/>
      <c r="L91" s="98" t="inlineStr">
        <is>
          <t>查看注释</t>
        </is>
      </c>
      <c r="M91" s="5" t="n"/>
      <c r="N91" s="5" t="n"/>
      <c r="O91" s="76" t="n"/>
    </row>
    <row r="92" ht="19.30827067669173" customHeight="1">
      <c r="A92" s="8">
        <f>A91+1</f>
        <v/>
      </c>
      <c r="B92" s="77">
        <f>CONCATENATE("0x",DEC2HEX(C92,4))</f>
        <v/>
      </c>
      <c r="C92" s="78">
        <f>A92+HEX2DEC("2000")</f>
        <v/>
      </c>
      <c r="D92" s="98" t="inlineStr">
        <is>
          <t>监听开关</t>
        </is>
      </c>
      <c r="E92" s="98" t="inlineStr">
        <is>
          <t>HP</t>
        </is>
      </c>
      <c r="F92" s="98" t="inlineStr">
        <is>
          <t>OnOff</t>
        </is>
      </c>
      <c r="G92" s="98" t="n">
        <v>1</v>
      </c>
      <c r="H92" s="82" t="inlineStr">
        <is>
          <t>[0,1]</t>
        </is>
      </c>
      <c r="I92" s="82" t="n">
        <v>1</v>
      </c>
      <c r="J92" s="81" t="n"/>
      <c r="K92" s="81" t="n"/>
      <c r="L92" s="98" t="inlineStr">
        <is>
          <t>value = param</t>
        </is>
      </c>
      <c r="M92" s="5" t="n"/>
      <c r="N92" s="5" t="n"/>
      <c r="O92" s="76" t="n"/>
    </row>
    <row r="93" ht="19.30827067669173" customHeight="1">
      <c r="A93" s="8">
        <f>A92+1</f>
        <v/>
      </c>
      <c r="B93" s="77">
        <f>CONCATENATE("0x",DEC2HEX(C93,4))</f>
        <v/>
      </c>
      <c r="C93" s="78">
        <f>A93+HEX2DEC("2000")</f>
        <v/>
      </c>
      <c r="D93" s="98" t="inlineStr">
        <is>
          <t>监听音量</t>
        </is>
      </c>
      <c r="E93" s="98" t="inlineStr">
        <is>
          <t>HP</t>
        </is>
      </c>
      <c r="F93" s="98" t="inlineStr">
        <is>
          <t>Gain</t>
        </is>
      </c>
      <c r="G93" s="98" t="n">
        <v>100</v>
      </c>
      <c r="H93" s="82" t="inlineStr">
        <is>
          <t>[0,100]</t>
        </is>
      </c>
      <c r="I93" s="82" t="n">
        <v>1</v>
      </c>
      <c r="J93" s="81" t="n"/>
      <c r="K93" s="81" t="n"/>
      <c r="L93" s="98" t="inlineStr">
        <is>
          <t>value = param</t>
        </is>
      </c>
      <c r="M93" s="5" t="n"/>
      <c r="N93" s="5" t="n"/>
      <c r="O93" s="76" t="n"/>
    </row>
    <row r="94" ht="19.30827067669173" customHeight="1">
      <c r="A94" s="8">
        <f>A93+1</f>
        <v/>
      </c>
      <c r="B94" s="77">
        <f>CONCATENATE("0x",DEC2HEX(C94,4))</f>
        <v/>
      </c>
      <c r="C94" s="78">
        <f>A94+HEX2DEC("2000")</f>
        <v/>
      </c>
      <c r="D94" s="91" t="inlineStr">
        <is>
          <t>NoiseGate</t>
        </is>
      </c>
      <c r="E94" s="98" t="n"/>
      <c r="F94" s="98" t="inlineStr">
        <is>
          <t>threshold_db</t>
        </is>
      </c>
      <c r="G94" s="98" t="n">
        <v>0</v>
      </c>
      <c r="H94" s="82" t="inlineStr">
        <is>
          <t>[-91,0]</t>
        </is>
      </c>
      <c r="I94" s="82" t="n">
        <v>1</v>
      </c>
      <c r="J94" s="81" t="inlineStr">
        <is>
          <t>dB</t>
        </is>
      </c>
      <c r="K94" s="81" t="n"/>
      <c r="L94" s="98" t="inlineStr">
        <is>
          <t>value=param-91</t>
        </is>
      </c>
      <c r="M94" s="5" t="n"/>
      <c r="N94" s="5" t="n"/>
      <c r="O94" s="76" t="n"/>
    </row>
    <row r="95" ht="19.30827067669173" customHeight="1">
      <c r="A95" s="8">
        <f>A94+1</f>
        <v/>
      </c>
      <c r="B95" s="77">
        <f>CONCATENATE("0x",DEC2HEX(C95,4))</f>
        <v/>
      </c>
      <c r="C95" s="78">
        <f>A95+HEX2DEC("2000")</f>
        <v/>
      </c>
      <c r="D95" s="128" t="n"/>
      <c r="E95" s="98" t="n"/>
      <c r="F95" s="98" t="inlineStr">
        <is>
          <t>ratio</t>
        </is>
      </c>
      <c r="G95" s="98" t="n">
        <v>50</v>
      </c>
      <c r="H95" s="82" t="inlineStr">
        <is>
          <t>[0.05,0.999]</t>
        </is>
      </c>
      <c r="I95" s="82" t="n">
        <v>0.001</v>
      </c>
      <c r="J95" s="81" t="n"/>
      <c r="K95" s="81" t="n"/>
      <c r="L95" s="98" t="inlineStr">
        <is>
          <t>value=param/1000</t>
        </is>
      </c>
      <c r="M95" s="5" t="n"/>
      <c r="N95" s="5" t="n"/>
      <c r="O95" s="76" t="n"/>
    </row>
    <row r="96" ht="19.30827067669173" customHeight="1">
      <c r="A96" s="8">
        <f>A95+1</f>
        <v/>
      </c>
      <c r="B96" s="77">
        <f>CONCATENATE("0x",DEC2HEX(C96,4))</f>
        <v/>
      </c>
      <c r="C96" s="78">
        <f>A96+HEX2DEC("2000")</f>
        <v/>
      </c>
      <c r="D96" s="128" t="n"/>
      <c r="E96" s="98" t="n"/>
      <c r="F96" s="98" t="inlineStr">
        <is>
          <t>attack_ms</t>
        </is>
      </c>
      <c r="G96" s="98" t="n">
        <v>5</v>
      </c>
      <c r="H96" s="82" t="inlineStr">
        <is>
          <t>[5,500]</t>
        </is>
      </c>
      <c r="I96" s="82" t="n">
        <v>1</v>
      </c>
      <c r="J96" s="81" t="inlineStr">
        <is>
          <t>ms</t>
        </is>
      </c>
      <c r="K96" s="81" t="n"/>
      <c r="L96" s="98" t="n"/>
      <c r="M96" s="5" t="n"/>
      <c r="N96" s="7" t="n"/>
    </row>
    <row r="97" ht="19.30827067669173" customHeight="1">
      <c r="A97" s="8">
        <f>A96+1</f>
        <v/>
      </c>
      <c r="B97" s="77">
        <f>CONCATENATE("0x",DEC2HEX(C97,4))</f>
        <v/>
      </c>
      <c r="C97" s="78">
        <f>A97+HEX2DEC("2000")</f>
        <v/>
      </c>
      <c r="D97" s="128" t="n"/>
      <c r="E97" s="98" t="n"/>
      <c r="F97" s="98" t="inlineStr">
        <is>
          <t>release_ms</t>
        </is>
      </c>
      <c r="G97" s="98" t="n">
        <v>5</v>
      </c>
      <c r="H97" s="82" t="inlineStr">
        <is>
          <t>[5,500]</t>
        </is>
      </c>
      <c r="I97" s="82" t="n">
        <v>1</v>
      </c>
      <c r="J97" s="81" t="inlineStr">
        <is>
          <t>ms</t>
        </is>
      </c>
      <c r="K97" s="81" t="n"/>
      <c r="L97" s="98" t="n"/>
      <c r="M97" s="5" t="n"/>
      <c r="N97" s="7" t="n"/>
    </row>
    <row r="98" ht="19.30827067669173" customHeight="1">
      <c r="A98" s="8">
        <f>A97+1</f>
        <v/>
      </c>
      <c r="B98" s="77">
        <f>CONCATENATE("0x",DEC2HEX(C98,4))</f>
        <v/>
      </c>
      <c r="C98" s="78">
        <f>A98+HEX2DEC("2000")</f>
        <v/>
      </c>
      <c r="D98" s="128" t="n"/>
      <c r="E98" s="98" t="n"/>
      <c r="F98" s="98" t="inlineStr">
        <is>
          <t>knee_width_db</t>
        </is>
      </c>
      <c r="G98" s="98" t="n">
        <v>6</v>
      </c>
      <c r="H98" s="82" t="inlineStr">
        <is>
          <t>[6,12]</t>
        </is>
      </c>
      <c r="I98" s="82" t="n">
        <v>1</v>
      </c>
      <c r="J98" s="81" t="inlineStr">
        <is>
          <t>dB</t>
        </is>
      </c>
      <c r="K98" s="81" t="n"/>
      <c r="L98" s="98" t="n"/>
      <c r="M98" s="5" t="n"/>
      <c r="N98" s="7" t="n"/>
    </row>
    <row r="99" ht="19.30827067669173" customHeight="1">
      <c r="A99" s="8">
        <f>A98+1</f>
        <v/>
      </c>
      <c r="B99" s="77">
        <f>CONCATENATE("0x",DEC2HEX(C99,4))</f>
        <v/>
      </c>
      <c r="C99" s="78">
        <f>A99+HEX2DEC("2000")</f>
        <v/>
      </c>
      <c r="D99" s="123" t="n"/>
      <c r="E99" s="98" t="n"/>
      <c r="F99" s="98" t="inlineStr">
        <is>
          <t>hp_freq</t>
        </is>
      </c>
      <c r="G99" s="98" t="n">
        <v>60</v>
      </c>
      <c r="H99" s="82" t="inlineStr">
        <is>
          <t>[60,200]</t>
        </is>
      </c>
      <c r="I99" s="82" t="n">
        <v>1</v>
      </c>
      <c r="J99" s="81" t="inlineStr">
        <is>
          <t>Hz</t>
        </is>
      </c>
      <c r="K99" s="81" t="n"/>
      <c r="L99" s="98" t="n"/>
      <c r="M99" s="5" t="n"/>
      <c r="N99" s="7" t="n"/>
    </row>
    <row r="100" ht="19.30827067669173" customHeight="1">
      <c r="A100" s="8">
        <f>A99+1</f>
        <v/>
      </c>
      <c r="B100" s="77">
        <f>CONCATENATE("0x",DEC2HEX(C100,4))</f>
        <v/>
      </c>
      <c r="C100" s="78">
        <f>A100+HEX2DEC("2000")</f>
        <v/>
      </c>
      <c r="E100" s="98" t="n"/>
      <c r="F100" s="98" t="inlineStr">
        <is>
          <t>fc1</t>
        </is>
      </c>
      <c r="G100" s="98" t="inlineStr">
        <is>
          <t>50</t>
        </is>
      </c>
      <c r="H100" s="82" t="inlineStr">
        <is>
          <t>[50,10000]</t>
        </is>
      </c>
      <c r="I100" s="82" t="n">
        <v>1</v>
      </c>
      <c r="J100" s="81" t="inlineStr">
        <is>
          <t>Hz</t>
        </is>
      </c>
      <c r="K100" s="81" t="n"/>
      <c r="L100" s="98" t="n"/>
      <c r="M100" s="5" t="n"/>
      <c r="N100" s="7" t="n"/>
    </row>
    <row r="101" ht="19.30827067669173" customHeight="1">
      <c r="A101" s="8">
        <f>A100+1</f>
        <v/>
      </c>
      <c r="B101" s="77">
        <f>CONCATENATE("0x",DEC2HEX(C101,4))</f>
        <v/>
      </c>
      <c r="C101" s="78">
        <f>A101+HEX2DEC("2000")</f>
        <v/>
      </c>
      <c r="E101" s="98" t="n"/>
      <c r="F101" s="98" t="inlineStr">
        <is>
          <t>fc2</t>
        </is>
      </c>
      <c r="G101" s="98" t="inlineStr">
        <is>
          <t>50</t>
        </is>
      </c>
      <c r="H101" s="82" t="inlineStr">
        <is>
          <t>[50,10000]</t>
        </is>
      </c>
      <c r="I101" s="82" t="n">
        <v>1</v>
      </c>
      <c r="J101" s="81" t="inlineStr">
        <is>
          <t>Hz</t>
        </is>
      </c>
      <c r="K101" s="81" t="n"/>
      <c r="L101" s="98" t="n"/>
      <c r="M101" s="5" t="n"/>
      <c r="N101" s="7" t="n"/>
    </row>
    <row r="102" ht="19.30827067669173" customHeight="1">
      <c r="A102" s="8">
        <f>A101+1</f>
        <v/>
      </c>
      <c r="B102" s="77">
        <f>CONCATENATE("0x",DEC2HEX(C102,4))</f>
        <v/>
      </c>
      <c r="C102" s="78">
        <f>A102+HEX2DEC("2000")</f>
        <v/>
      </c>
      <c r="E102" s="98" t="inlineStr">
        <is>
          <t>freq &lt; fc1</t>
        </is>
      </c>
      <c r="F102" s="98" t="inlineStr">
        <is>
          <t>preGain</t>
        </is>
      </c>
      <c r="G102" s="98" t="n">
        <v>0</v>
      </c>
      <c r="H102" s="82" t="inlineStr">
        <is>
          <t>[0,4]</t>
        </is>
      </c>
      <c r="I102" s="82" t="n">
        <v>0.01</v>
      </c>
      <c r="J102" s="81" t="n"/>
      <c r="K102" s="81" t="n"/>
      <c r="L102" s="98" t="inlineStr">
        <is>
          <t>value=param/100</t>
        </is>
      </c>
      <c r="M102" s="5" t="n"/>
      <c r="N102" s="7" t="n"/>
    </row>
    <row r="103" ht="19.30827067669173" customHeight="1">
      <c r="A103" s="8">
        <f>A102+1</f>
        <v/>
      </c>
      <c r="B103" s="77">
        <f>CONCATENATE("0x",DEC2HEX(C103,4))</f>
        <v/>
      </c>
      <c r="C103" s="78">
        <f>A103+HEX2DEC("2000")</f>
        <v/>
      </c>
      <c r="E103" s="98" t="inlineStr">
        <is>
          <t>freq &lt; fc1</t>
        </is>
      </c>
      <c r="F103" s="98" t="inlineStr">
        <is>
          <t>threshold</t>
        </is>
      </c>
      <c r="G103" s="98" t="n">
        <v>0</v>
      </c>
      <c r="H103" s="82" t="inlineStr">
        <is>
          <t>[-80,0]</t>
        </is>
      </c>
      <c r="I103" s="82" t="n">
        <v>0.1</v>
      </c>
      <c r="J103" s="81" t="inlineStr">
        <is>
          <t>dB</t>
        </is>
      </c>
      <c r="K103" s="81" t="n"/>
      <c r="L103" s="98" t="inlineStr">
        <is>
          <t>value=(param-800)/10</t>
        </is>
      </c>
      <c r="M103" s="5" t="n"/>
      <c r="N103" s="7" t="n"/>
    </row>
    <row r="104" ht="19.30827067669173" customHeight="1">
      <c r="A104" s="8">
        <f>A103+1</f>
        <v/>
      </c>
      <c r="B104" s="77">
        <f>CONCATENATE("0x",DEC2HEX(C104,4))</f>
        <v/>
      </c>
      <c r="C104" s="78">
        <f>A104+HEX2DEC("2000")</f>
        <v/>
      </c>
      <c r="E104" s="98" t="inlineStr">
        <is>
          <t>freq &lt; fc1</t>
        </is>
      </c>
      <c r="F104" s="98" t="inlineStr">
        <is>
          <t>attackTime</t>
        </is>
      </c>
      <c r="G104" s="98" t="n">
        <v>1</v>
      </c>
      <c r="H104" s="82" t="inlineStr">
        <is>
          <t>[1,400]</t>
        </is>
      </c>
      <c r="I104" s="82" t="n">
        <v>1</v>
      </c>
      <c r="J104" s="81" t="inlineStr">
        <is>
          <t>ms</t>
        </is>
      </c>
      <c r="K104" s="81" t="n"/>
      <c r="L104" s="98" t="n"/>
      <c r="M104" s="5" t="n"/>
      <c r="N104" s="7" t="n"/>
    </row>
    <row r="105" ht="19.30827067669173" customHeight="1">
      <c r="A105" s="8">
        <f>A104+1</f>
        <v/>
      </c>
      <c r="B105" s="77">
        <f>CONCATENATE("0x",DEC2HEX(C105,4))</f>
        <v/>
      </c>
      <c r="C105" s="78">
        <f>A105+HEX2DEC("2000")</f>
        <v/>
      </c>
      <c r="E105" s="98" t="inlineStr">
        <is>
          <t>freq &lt; fc1</t>
        </is>
      </c>
      <c r="F105" s="98" t="inlineStr">
        <is>
          <t>releaseTime</t>
        </is>
      </c>
      <c r="G105" s="98" t="n">
        <v>5</v>
      </c>
      <c r="H105" s="82" t="inlineStr">
        <is>
          <t>[5,680]</t>
        </is>
      </c>
      <c r="I105" s="82" t="n">
        <v>1</v>
      </c>
      <c r="J105" s="81" t="inlineStr">
        <is>
          <t>ms</t>
        </is>
      </c>
      <c r="K105" s="81" t="n"/>
      <c r="L105" s="98" t="n"/>
      <c r="M105" s="5" t="n"/>
      <c r="N105" s="7" t="n"/>
    </row>
    <row r="106" ht="19.30827067669173" customHeight="1">
      <c r="A106" s="8">
        <f>A105+1</f>
        <v/>
      </c>
      <c r="B106" s="77">
        <f>CONCATENATE("0x",DEC2HEX(C106,4))</f>
        <v/>
      </c>
      <c r="C106" s="78">
        <f>A106+HEX2DEC("2000")</f>
        <v/>
      </c>
      <c r="E106" s="98" t="inlineStr">
        <is>
          <t>freq &lt; fc1</t>
        </is>
      </c>
      <c r="F106" s="98" t="inlineStr">
        <is>
          <t>ratio</t>
        </is>
      </c>
      <c r="G106" s="98" t="n">
        <v>1</v>
      </c>
      <c r="H106" s="82" t="inlineStr">
        <is>
          <t>[1,20]</t>
        </is>
      </c>
      <c r="I106" s="82" t="n">
        <v>0.1</v>
      </c>
      <c r="J106" s="81" t="n"/>
      <c r="K106" s="81" t="n"/>
      <c r="L106" s="98" t="inlineStr">
        <is>
          <t>value=param/10</t>
        </is>
      </c>
      <c r="M106" s="5" t="n"/>
      <c r="N106" s="7" t="n"/>
    </row>
    <row r="107" ht="19.30827067669173" customHeight="1">
      <c r="A107" s="8">
        <f>A106+1</f>
        <v/>
      </c>
      <c r="B107" s="77">
        <f>CONCATENATE("0x",DEC2HEX(C107,4))</f>
        <v/>
      </c>
      <c r="C107" s="78">
        <f>A107+HEX2DEC("2000")</f>
        <v/>
      </c>
      <c r="E107" s="98" t="inlineStr">
        <is>
          <t>freq &gt; fc2</t>
        </is>
      </c>
      <c r="F107" s="98" t="inlineStr">
        <is>
          <t>preGain</t>
        </is>
      </c>
      <c r="G107" s="98" t="n">
        <v>0</v>
      </c>
      <c r="H107" s="82" t="inlineStr">
        <is>
          <t>[0,4]</t>
        </is>
      </c>
      <c r="I107" s="82" t="n">
        <v>0.01</v>
      </c>
      <c r="J107" s="81" t="n"/>
      <c r="K107" s="81" t="n"/>
      <c r="L107" s="98" t="inlineStr">
        <is>
          <t>value=param/100</t>
        </is>
      </c>
      <c r="M107" s="5" t="n"/>
      <c r="N107" s="7" t="n"/>
    </row>
    <row r="108" ht="19.30827067669173" customHeight="1">
      <c r="A108" s="8">
        <f>A107+1</f>
        <v/>
      </c>
      <c r="B108" s="77">
        <f>CONCATENATE("0x",DEC2HEX(C108,4))</f>
        <v/>
      </c>
      <c r="C108" s="78">
        <f>A108+HEX2DEC("2000")</f>
        <v/>
      </c>
      <c r="E108" s="98" t="inlineStr">
        <is>
          <t>freq &gt; fc2</t>
        </is>
      </c>
      <c r="F108" s="98" t="inlineStr">
        <is>
          <t>threshold</t>
        </is>
      </c>
      <c r="G108" s="98" t="n">
        <v>0</v>
      </c>
      <c r="H108" s="82" t="inlineStr">
        <is>
          <t>[-80,0]</t>
        </is>
      </c>
      <c r="I108" s="82" t="n">
        <v>0.1</v>
      </c>
      <c r="J108" s="81" t="inlineStr">
        <is>
          <t>dB</t>
        </is>
      </c>
      <c r="K108" s="81" t="n"/>
      <c r="L108" s="98" t="inlineStr">
        <is>
          <t>value=(param-800)/10</t>
        </is>
      </c>
      <c r="M108" s="5" t="n"/>
      <c r="N108" s="7" t="n"/>
    </row>
    <row r="109" ht="19.30827067669173" customHeight="1">
      <c r="A109" s="8">
        <f>A108+1</f>
        <v/>
      </c>
      <c r="B109" s="77">
        <f>CONCATENATE("0x",DEC2HEX(C109,4))</f>
        <v/>
      </c>
      <c r="C109" s="78">
        <f>A109+HEX2DEC("2000")</f>
        <v/>
      </c>
      <c r="E109" s="98" t="inlineStr">
        <is>
          <t>freq &gt; fc2</t>
        </is>
      </c>
      <c r="F109" s="98" t="inlineStr">
        <is>
          <t>attackTime</t>
        </is>
      </c>
      <c r="G109" s="98" t="n">
        <v>1</v>
      </c>
      <c r="H109" s="82" t="inlineStr">
        <is>
          <t>[1,400]</t>
        </is>
      </c>
      <c r="I109" s="82" t="n">
        <v>1</v>
      </c>
      <c r="J109" s="81" t="inlineStr">
        <is>
          <t>ms</t>
        </is>
      </c>
      <c r="K109" s="81" t="n"/>
      <c r="L109" s="98" t="n"/>
      <c r="M109" s="5" t="n"/>
      <c r="N109" s="7" t="n"/>
    </row>
    <row r="110" ht="19.30827067669173" customHeight="1">
      <c r="A110" s="8">
        <f>A109+1</f>
        <v/>
      </c>
      <c r="B110" s="77">
        <f>CONCATENATE("0x",DEC2HEX(C110,4))</f>
        <v/>
      </c>
      <c r="C110" s="78">
        <f>A110+HEX2DEC("2000")</f>
        <v/>
      </c>
      <c r="E110" s="98" t="inlineStr">
        <is>
          <t>freq &gt; fc2</t>
        </is>
      </c>
      <c r="F110" s="98" t="inlineStr">
        <is>
          <t>releaseTime</t>
        </is>
      </c>
      <c r="G110" s="98" t="n">
        <v>5</v>
      </c>
      <c r="H110" s="82" t="inlineStr">
        <is>
          <t>[5,680]</t>
        </is>
      </c>
      <c r="I110" s="82" t="n">
        <v>1</v>
      </c>
      <c r="J110" s="81" t="inlineStr">
        <is>
          <t>ms</t>
        </is>
      </c>
      <c r="K110" s="81" t="n"/>
      <c r="L110" s="98" t="n"/>
      <c r="M110" s="5" t="n"/>
      <c r="N110" s="7" t="n"/>
    </row>
    <row r="111" ht="19.30827067669173" customHeight="1">
      <c r="A111" s="8">
        <f>A110+1</f>
        <v/>
      </c>
      <c r="B111" s="77">
        <f>CONCATENATE("0x",DEC2HEX(C111,4))</f>
        <v/>
      </c>
      <c r="C111" s="78">
        <f>A111+HEX2DEC("2000")</f>
        <v/>
      </c>
      <c r="E111" s="98" t="inlineStr">
        <is>
          <t>freq &gt; fc2</t>
        </is>
      </c>
      <c r="F111" s="98" t="inlineStr">
        <is>
          <t>ratio</t>
        </is>
      </c>
      <c r="G111" s="98" t="n">
        <v>1</v>
      </c>
      <c r="H111" s="82" t="inlineStr">
        <is>
          <t>[1,20]</t>
        </is>
      </c>
      <c r="I111" s="82" t="n">
        <v>0.1</v>
      </c>
      <c r="J111" s="81" t="n"/>
      <c r="K111" s="81" t="n"/>
      <c r="L111" s="98" t="inlineStr">
        <is>
          <t>value=param/10</t>
        </is>
      </c>
      <c r="M111" s="5" t="n"/>
      <c r="N111" s="7" t="n"/>
    </row>
    <row r="112" ht="19.30827067669173" customHeight="1">
      <c r="A112" s="8">
        <f>A111+1</f>
        <v/>
      </c>
      <c r="B112" s="77">
        <f>CONCATENATE("0x",DEC2HEX(C112,4))</f>
        <v/>
      </c>
      <c r="C112" s="78">
        <f>A112+HEX2DEC("2000")</f>
        <v/>
      </c>
      <c r="E112" s="98" t="inlineStr">
        <is>
          <t>fc1 &lt; freq &lt; fc2</t>
        </is>
      </c>
      <c r="F112" s="98" t="inlineStr">
        <is>
          <t>preGain</t>
        </is>
      </c>
      <c r="G112" s="98" t="n">
        <v>0</v>
      </c>
      <c r="H112" s="82" t="inlineStr">
        <is>
          <t>[0,4]</t>
        </is>
      </c>
      <c r="I112" s="82" t="n">
        <v>0.01</v>
      </c>
      <c r="J112" s="81" t="n"/>
      <c r="K112" s="81" t="n"/>
      <c r="L112" s="98" t="inlineStr">
        <is>
          <t>value=param/100</t>
        </is>
      </c>
      <c r="M112" s="5" t="n"/>
      <c r="N112" s="7" t="n"/>
    </row>
    <row r="113" ht="19.30827067669173" customHeight="1">
      <c r="A113" s="8">
        <f>A112+1</f>
        <v/>
      </c>
      <c r="B113" s="77">
        <f>CONCATENATE("0x",DEC2HEX(C113,4))</f>
        <v/>
      </c>
      <c r="C113" s="78">
        <f>A113+HEX2DEC("2000")</f>
        <v/>
      </c>
      <c r="E113" s="98" t="inlineStr">
        <is>
          <t>fc1 &lt; freq &lt; fc2</t>
        </is>
      </c>
      <c r="F113" s="98" t="inlineStr">
        <is>
          <t>threshold</t>
        </is>
      </c>
      <c r="G113" s="98" t="n">
        <v>0</v>
      </c>
      <c r="H113" s="82" t="inlineStr">
        <is>
          <t>[-80,0]</t>
        </is>
      </c>
      <c r="I113" s="82" t="n">
        <v>0.1</v>
      </c>
      <c r="J113" s="81" t="inlineStr">
        <is>
          <t>dB</t>
        </is>
      </c>
      <c r="K113" s="81" t="n"/>
      <c r="L113" s="98" t="inlineStr">
        <is>
          <t>value=(param-800)/10</t>
        </is>
      </c>
      <c r="M113" s="5" t="n"/>
      <c r="N113" s="7" t="n"/>
    </row>
    <row r="114" ht="19.30827067669173" customHeight="1">
      <c r="A114" s="8">
        <f>A113+1</f>
        <v/>
      </c>
      <c r="B114" s="77">
        <f>CONCATENATE("0x",DEC2HEX(C114,4))</f>
        <v/>
      </c>
      <c r="C114" s="78">
        <f>A114+HEX2DEC("2000")</f>
        <v/>
      </c>
      <c r="E114" s="98" t="inlineStr">
        <is>
          <t>fc1 &lt; freq &lt; fc2</t>
        </is>
      </c>
      <c r="F114" s="98" t="inlineStr">
        <is>
          <t>attackTime</t>
        </is>
      </c>
      <c r="G114" s="98" t="n">
        <v>1</v>
      </c>
      <c r="H114" s="82" t="inlineStr">
        <is>
          <t>[1,400]</t>
        </is>
      </c>
      <c r="I114" s="82" t="n">
        <v>1</v>
      </c>
      <c r="J114" s="81" t="inlineStr">
        <is>
          <t>ms</t>
        </is>
      </c>
      <c r="K114" s="81" t="n"/>
      <c r="L114" s="98" t="n"/>
      <c r="M114" s="5" t="n"/>
      <c r="N114" s="7" t="n"/>
    </row>
    <row r="115" ht="19.30827067669173" customHeight="1">
      <c r="A115" s="8">
        <f>A114+1</f>
        <v/>
      </c>
      <c r="B115" s="77">
        <f>CONCATENATE("0x",DEC2HEX(C115,4))</f>
        <v/>
      </c>
      <c r="C115" s="78">
        <f>A115+HEX2DEC("2000")</f>
        <v/>
      </c>
      <c r="E115" s="98" t="inlineStr">
        <is>
          <t>fc1 &lt; freq &lt; fc2</t>
        </is>
      </c>
      <c r="F115" s="98" t="inlineStr">
        <is>
          <t>releaseTime</t>
        </is>
      </c>
      <c r="G115" s="98" t="n">
        <v>5</v>
      </c>
      <c r="H115" s="82" t="inlineStr">
        <is>
          <t>[5,680]</t>
        </is>
      </c>
      <c r="I115" s="82" t="n">
        <v>1</v>
      </c>
      <c r="J115" s="81" t="inlineStr">
        <is>
          <t>ms</t>
        </is>
      </c>
      <c r="K115" s="81" t="n"/>
      <c r="L115" s="98" t="n"/>
      <c r="M115" s="5" t="n"/>
      <c r="N115" s="7" t="n"/>
    </row>
    <row r="116" ht="19.30827067669173" customHeight="1">
      <c r="A116" s="8">
        <f>A115+1</f>
        <v/>
      </c>
      <c r="B116" s="77">
        <f>CONCATENATE("0x",DEC2HEX(C116,4))</f>
        <v/>
      </c>
      <c r="C116" s="78">
        <f>A116+HEX2DEC("2000")</f>
        <v/>
      </c>
      <c r="E116" s="98" t="inlineStr">
        <is>
          <t>fc1 &lt; freq &lt; fc2</t>
        </is>
      </c>
      <c r="F116" s="98" t="inlineStr">
        <is>
          <t>ratio</t>
        </is>
      </c>
      <c r="G116" s="98" t="n">
        <v>1</v>
      </c>
      <c r="H116" s="82" t="inlineStr">
        <is>
          <t>[1,20]</t>
        </is>
      </c>
      <c r="I116" s="82" t="n">
        <v>0.1</v>
      </c>
      <c r="J116" s="81" t="n"/>
      <c r="K116" s="81" t="n"/>
      <c r="L116" s="98" t="inlineStr">
        <is>
          <t>value=param/10</t>
        </is>
      </c>
      <c r="M116" s="5" t="n"/>
      <c r="N116" s="7" t="n"/>
    </row>
    <row r="117" ht="19.30827067669173" customHeight="1">
      <c r="A117" s="49" t="n"/>
      <c r="B117" s="49" t="n"/>
      <c r="C117" s="49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7" t="n"/>
    </row>
    <row r="118" ht="19.30827067669173" customHeight="1">
      <c r="A118" s="49" t="n"/>
      <c r="B118" s="49" t="n"/>
      <c r="C118" s="49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7" t="n"/>
    </row>
    <row r="119" ht="18.04511278195489" customHeight="1">
      <c r="A119" s="49" t="n"/>
      <c r="B119" s="49" t="n"/>
      <c r="C119" s="49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7" t="n"/>
    </row>
    <row r="120" ht="18.04511278195489" customHeight="1">
      <c r="A120" s="49" t="n"/>
      <c r="B120" s="49" t="n"/>
      <c r="C120" s="49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7" t="n"/>
    </row>
    <row r="121" ht="18.04511278195489" customHeight="1">
      <c r="A121" s="49" t="n"/>
      <c r="B121" s="49" t="n"/>
      <c r="C121" s="49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7" t="n"/>
    </row>
    <row r="122" ht="18.04511278195489" customHeight="1">
      <c r="A122" s="49" t="n"/>
      <c r="B122" s="49" t="n"/>
      <c r="C122" s="49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7" t="n"/>
    </row>
    <row r="123" ht="18.04511278195489" customHeight="1">
      <c r="A123" s="49" t="n"/>
      <c r="B123" s="49" t="n"/>
      <c r="C123" s="49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7" t="n"/>
    </row>
    <row r="124" ht="18.04511278195489" customHeight="1">
      <c r="A124" s="49" t="n"/>
      <c r="B124" s="49" t="n"/>
      <c r="C124" s="49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7" t="n"/>
    </row>
    <row r="125" ht="18.04511278195489" customHeight="1">
      <c r="A125" s="49" t="n"/>
      <c r="B125" s="49" t="n"/>
      <c r="C125" s="49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7" t="n"/>
    </row>
    <row r="126" ht="18.04511278195489" customHeight="1">
      <c r="A126" s="49" t="n"/>
      <c r="B126" s="49" t="n"/>
      <c r="C126" s="49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7" t="n"/>
    </row>
    <row r="127" ht="18.04511278195489" customHeight="1">
      <c r="A127" s="49" t="n"/>
      <c r="B127" s="49" t="n"/>
      <c r="C127" s="49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7" t="n"/>
    </row>
    <row r="128" ht="18.04511278195489" customHeight="1">
      <c r="A128" s="49" t="n"/>
      <c r="B128" s="49" t="n"/>
      <c r="C128" s="49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7" t="n"/>
    </row>
    <row r="129" ht="18.04511278195489" customHeight="1">
      <c r="A129" s="49" t="n"/>
      <c r="B129" s="49" t="n"/>
      <c r="C129" s="49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7" t="n"/>
    </row>
    <row r="130" ht="18.04511278195489" customHeight="1">
      <c r="A130" s="49" t="n"/>
      <c r="B130" s="49" t="n"/>
      <c r="C130" s="49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7" t="n"/>
    </row>
    <row r="131" ht="18.04511278195489" customHeight="1">
      <c r="A131" s="49" t="n"/>
      <c r="B131" s="49" t="n"/>
      <c r="C131" s="49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7" t="n"/>
    </row>
    <row r="132" ht="18.04511278195489" customHeight="1">
      <c r="A132" s="49" t="n"/>
      <c r="B132" s="49" t="n"/>
      <c r="C132" s="49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7" t="n"/>
    </row>
    <row r="133" ht="18.04511278195489" customHeight="1">
      <c r="A133" s="49" t="n"/>
      <c r="B133" s="49" t="n"/>
      <c r="C133" s="49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7" t="n"/>
    </row>
    <row r="134" ht="18.04511278195489" customHeight="1">
      <c r="A134" s="49" t="n"/>
      <c r="B134" s="49" t="n"/>
      <c r="C134" s="49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7" t="n"/>
    </row>
    <row r="135" ht="18.04511278195489" customHeight="1">
      <c r="A135" s="49" t="n"/>
      <c r="B135" s="49" t="n"/>
      <c r="C135" s="49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7" t="n"/>
    </row>
    <row r="136" ht="18.04511278195489" customHeight="1">
      <c r="A136" s="49" t="n"/>
      <c r="B136" s="49" t="n"/>
      <c r="C136" s="49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7" t="n"/>
    </row>
    <row r="137" ht="18.04511278195489" customHeight="1">
      <c r="A137" s="49" t="n"/>
      <c r="B137" s="49" t="n"/>
      <c r="C137" s="49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7" t="n"/>
    </row>
    <row r="138" ht="18.04511278195489" customHeight="1">
      <c r="A138" s="49" t="n"/>
      <c r="B138" s="49" t="n"/>
      <c r="C138" s="49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7" t="n"/>
    </row>
    <row r="139" ht="18.04511278195489" customHeight="1">
      <c r="A139" s="49" t="n"/>
      <c r="B139" s="49" t="n"/>
      <c r="C139" s="49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7" t="n"/>
    </row>
    <row r="140" ht="18.04511278195489" customHeight="1">
      <c r="A140" s="49" t="n"/>
      <c r="B140" s="49" t="n"/>
      <c r="C140" s="49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7" t="n"/>
    </row>
    <row r="141" ht="18.04511278195489" customHeight="1">
      <c r="A141" s="49" t="n"/>
      <c r="B141" s="49" t="n"/>
      <c r="C141" s="49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7" t="n"/>
    </row>
    <row r="142" ht="18.04511278195489" customHeight="1">
      <c r="A142" s="49" t="n"/>
      <c r="B142" s="49" t="n"/>
      <c r="C142" s="49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7" t="n"/>
    </row>
    <row r="143" ht="18.04511278195489" customHeight="1">
      <c r="A143" s="49" t="n"/>
      <c r="B143" s="49" t="n"/>
      <c r="C143" s="49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7" t="n"/>
    </row>
    <row r="144" ht="18.04511278195489" customHeight="1">
      <c r="A144" s="49" t="n"/>
      <c r="B144" s="49" t="n"/>
      <c r="C144" s="49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7" t="n"/>
    </row>
    <row r="145" ht="18.04511278195489" customHeight="1">
      <c r="A145" s="49" t="n"/>
      <c r="B145" s="49" t="n"/>
      <c r="C145" s="49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7" t="n"/>
    </row>
    <row r="146" ht="18.04511278195489" customHeight="1">
      <c r="A146" s="49" t="n"/>
      <c r="B146" s="49" t="n"/>
      <c r="C146" s="49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7" t="n"/>
    </row>
    <row r="147" ht="18.04511278195489" customHeight="1">
      <c r="A147" s="49" t="n"/>
      <c r="B147" s="49" t="n"/>
      <c r="C147" s="49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7" t="n"/>
    </row>
    <row r="148" ht="18.04511278195489" customHeight="1">
      <c r="A148" s="49" t="n"/>
      <c r="B148" s="49" t="n"/>
      <c r="C148" s="49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7" t="n"/>
    </row>
    <row r="149" ht="18.04511278195489" customHeight="1">
      <c r="A149" s="49" t="n"/>
      <c r="B149" s="49" t="n"/>
      <c r="C149" s="49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7" t="n"/>
    </row>
    <row r="150" ht="18.04511278195489" customHeight="1">
      <c r="A150" s="49" t="n"/>
      <c r="B150" s="49" t="n"/>
      <c r="C150" s="49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7" t="n"/>
    </row>
    <row r="151" ht="18.04511278195489" customHeight="1">
      <c r="A151" s="49" t="n"/>
      <c r="B151" s="49" t="n"/>
      <c r="C151" s="49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7" t="n"/>
    </row>
    <row r="152" ht="18.04511278195489" customHeight="1">
      <c r="A152" s="49" t="n"/>
      <c r="B152" s="49" t="n"/>
      <c r="C152" s="49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7" t="n"/>
    </row>
    <row r="153" ht="18.04511278195489" customHeight="1">
      <c r="A153" s="49" t="n"/>
      <c r="B153" s="49" t="n"/>
      <c r="C153" s="49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7" t="n"/>
    </row>
    <row r="154" ht="18.04511278195489" customHeight="1">
      <c r="A154" s="49" t="n"/>
      <c r="B154" s="49" t="n"/>
      <c r="C154" s="49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7" t="n"/>
    </row>
    <row r="155" ht="18.04511278195489" customHeight="1">
      <c r="A155" s="49" t="n"/>
      <c r="B155" s="49" t="n"/>
      <c r="C155" s="49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7" t="n"/>
    </row>
    <row r="156" ht="18.04511278195489" customHeight="1">
      <c r="A156" s="49" t="n"/>
      <c r="B156" s="49" t="n"/>
      <c r="C156" s="49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7" t="n"/>
    </row>
    <row r="157" ht="18.04511278195489" customHeight="1">
      <c r="A157" s="49" t="n"/>
      <c r="B157" s="49" t="n"/>
      <c r="C157" s="49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7" t="n"/>
    </row>
    <row r="158" ht="18.04511278195489" customHeight="1">
      <c r="A158" s="49" t="n"/>
      <c r="B158" s="49" t="n"/>
      <c r="C158" s="49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7" t="n"/>
    </row>
    <row r="159" ht="18.04511278195489" customHeight="1">
      <c r="A159" s="49" t="n"/>
      <c r="B159" s="49" t="n"/>
      <c r="C159" s="49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7" t="n"/>
    </row>
    <row r="160" ht="18.04511278195489" customHeight="1">
      <c r="A160" s="49" t="n"/>
      <c r="B160" s="49" t="n"/>
      <c r="C160" s="49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7" t="n"/>
    </row>
    <row r="161" ht="18.04511278195489" customHeight="1">
      <c r="A161" s="49" t="n"/>
      <c r="B161" s="49" t="n"/>
      <c r="C161" s="49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7" t="n"/>
    </row>
    <row r="162" ht="18.04511278195489" customHeight="1">
      <c r="A162" s="49" t="n"/>
      <c r="B162" s="49" t="n"/>
      <c r="C162" s="49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7" t="n"/>
    </row>
    <row r="163" ht="18.04511278195489" customHeight="1">
      <c r="A163" s="49" t="n"/>
      <c r="B163" s="49" t="n"/>
      <c r="C163" s="49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7" t="n"/>
    </row>
    <row r="164" ht="18.04511278195489" customHeight="1">
      <c r="A164" s="49" t="n"/>
      <c r="B164" s="49" t="n"/>
      <c r="C164" s="49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7" t="n"/>
    </row>
    <row r="165" ht="18.04511278195489" customHeight="1">
      <c r="A165" s="49" t="n"/>
      <c r="B165" s="49" t="n"/>
      <c r="C165" s="49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7" t="n"/>
    </row>
    <row r="166" ht="18.04511278195489" customHeight="1">
      <c r="A166" s="49" t="n"/>
      <c r="B166" s="49" t="n"/>
      <c r="C166" s="49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7" t="n"/>
    </row>
    <row r="167" ht="18.04511278195489" customHeight="1">
      <c r="A167" s="49" t="n"/>
      <c r="B167" s="49" t="n"/>
      <c r="C167" s="49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7" t="n"/>
    </row>
    <row r="168" ht="18.04511278195489" customHeight="1">
      <c r="A168" s="49" t="n"/>
      <c r="B168" s="49" t="n"/>
      <c r="C168" s="49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7" t="n"/>
    </row>
    <row r="169" ht="18.04511278195489" customHeight="1">
      <c r="A169" s="49" t="n"/>
      <c r="B169" s="49" t="n"/>
      <c r="C169" s="49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7" t="n"/>
    </row>
    <row r="170" ht="18.04511278195489" customHeight="1">
      <c r="A170" s="49" t="n"/>
      <c r="B170" s="49" t="n"/>
      <c r="C170" s="49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7" t="n"/>
    </row>
    <row r="171" ht="18.04511278195489" customHeight="1">
      <c r="A171" s="49" t="n"/>
      <c r="B171" s="49" t="n"/>
      <c r="C171" s="49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7" t="n"/>
    </row>
    <row r="172" ht="18.04511278195489" customHeight="1">
      <c r="A172" s="49" t="n"/>
      <c r="B172" s="49" t="n"/>
      <c r="C172" s="49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7" t="n"/>
    </row>
    <row r="173" ht="18.04511278195489" customHeight="1">
      <c r="A173" s="49" t="n"/>
      <c r="B173" s="49" t="n"/>
      <c r="C173" s="49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7" t="n"/>
    </row>
    <row r="174" ht="18.04511278195489" customHeight="1">
      <c r="A174" s="49" t="n"/>
      <c r="B174" s="49" t="n"/>
      <c r="C174" s="49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7" t="n"/>
    </row>
    <row r="175" ht="18.04511278195489" customHeight="1">
      <c r="A175" s="49" t="n"/>
      <c r="B175" s="49" t="n"/>
      <c r="C175" s="49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7" t="n"/>
    </row>
    <row r="176" ht="18.04511278195489" customHeight="1">
      <c r="A176" s="49" t="n"/>
      <c r="B176" s="49" t="n"/>
      <c r="C176" s="49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7" t="n"/>
    </row>
    <row r="177" ht="18.04511278195489" customHeight="1">
      <c r="A177" s="49" t="n"/>
      <c r="B177" s="49" t="n"/>
      <c r="C177" s="49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7" t="n"/>
    </row>
    <row r="178" ht="18.04511278195489" customHeight="1">
      <c r="A178" s="49" t="n"/>
      <c r="B178" s="49" t="n"/>
      <c r="C178" s="49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7" t="n"/>
    </row>
    <row r="179" ht="18.04511278195489" customHeight="1">
      <c r="A179" s="49" t="n"/>
      <c r="B179" s="49" t="n"/>
      <c r="C179" s="49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7" t="n"/>
    </row>
    <row r="180" ht="18.04511278195489" customHeight="1">
      <c r="A180" s="49" t="n"/>
      <c r="B180" s="49" t="n"/>
      <c r="C180" s="49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7" t="n"/>
    </row>
    <row r="181" ht="18.04511278195489" customHeight="1">
      <c r="A181" s="49" t="n"/>
      <c r="B181" s="49" t="n"/>
      <c r="C181" s="49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7" t="n"/>
    </row>
    <row r="182" ht="18.04511278195489" customHeight="1">
      <c r="A182" s="49" t="n"/>
      <c r="B182" s="49" t="n"/>
      <c r="C182" s="49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7" t="n"/>
    </row>
    <row r="183" ht="18.04511278195489" customHeight="1">
      <c r="A183" s="49" t="n"/>
      <c r="B183" s="49" t="n"/>
      <c r="C183" s="49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7" t="n"/>
    </row>
    <row r="184" ht="18.04511278195489" customHeight="1">
      <c r="A184" s="49" t="n"/>
      <c r="B184" s="49" t="n"/>
      <c r="C184" s="49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7" t="n"/>
    </row>
    <row r="185" ht="18.04511278195489" customHeight="1">
      <c r="A185" s="49" t="n"/>
      <c r="B185" s="49" t="n"/>
      <c r="C185" s="49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7" t="n"/>
    </row>
    <row r="186" ht="18.04511278195489" customHeight="1">
      <c r="A186" s="49" t="n"/>
      <c r="B186" s="49" t="n"/>
      <c r="C186" s="49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7" t="n"/>
    </row>
    <row r="187" ht="18.04511278195489" customHeight="1">
      <c r="A187" s="49" t="n"/>
      <c r="B187" s="49" t="n"/>
      <c r="C187" s="49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7" t="n"/>
    </row>
    <row r="188" ht="18.04511278195489" customHeight="1">
      <c r="A188" s="49" t="n"/>
      <c r="B188" s="49" t="n"/>
      <c r="C188" s="49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7" t="n"/>
    </row>
    <row r="189" ht="18.04511278195489" customHeight="1">
      <c r="A189" s="49" t="n"/>
      <c r="B189" s="49" t="n"/>
      <c r="C189" s="49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7" t="n"/>
    </row>
    <row r="190" ht="18.04511278195489" customHeight="1">
      <c r="A190" s="49" t="n"/>
      <c r="B190" s="49" t="n"/>
      <c r="C190" s="49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7" t="n"/>
    </row>
    <row r="191" ht="18.04511278195489" customHeight="1">
      <c r="A191" s="49" t="n"/>
      <c r="B191" s="49" t="n"/>
      <c r="C191" s="49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7" t="n"/>
    </row>
    <row r="192" ht="18.04511278195489" customHeight="1">
      <c r="A192" s="49" t="n"/>
      <c r="B192" s="49" t="n"/>
      <c r="C192" s="49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7" t="n"/>
    </row>
    <row r="193" ht="18.04511278195489" customHeight="1">
      <c r="A193" s="49" t="n"/>
      <c r="B193" s="49" t="n"/>
      <c r="C193" s="49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7" t="n"/>
    </row>
    <row r="194" ht="18.04511278195489" customHeight="1">
      <c r="A194" s="49" t="n"/>
      <c r="B194" s="49" t="n"/>
      <c r="C194" s="49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7" t="n"/>
    </row>
    <row r="195" ht="18.04511278195489" customHeight="1">
      <c r="A195" s="49" t="n"/>
      <c r="B195" s="49" t="n"/>
      <c r="C195" s="49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7" t="n"/>
    </row>
    <row r="196" ht="18.04511278195489" customHeight="1">
      <c r="A196" s="49" t="n"/>
      <c r="B196" s="49" t="n"/>
      <c r="C196" s="49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7" t="n"/>
    </row>
    <row r="197" ht="18.04511278195489" customHeight="1">
      <c r="A197" s="49" t="n"/>
      <c r="B197" s="49" t="n"/>
      <c r="C197" s="49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7" t="n"/>
    </row>
    <row r="198" ht="18.04511278195489" customHeight="1">
      <c r="A198" s="49" t="n"/>
      <c r="B198" s="49" t="n"/>
      <c r="C198" s="49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7" t="n"/>
    </row>
    <row r="199" ht="18.04511278195489" customHeight="1">
      <c r="A199" s="49" t="n"/>
      <c r="B199" s="49" t="n"/>
      <c r="C199" s="49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7" t="n"/>
    </row>
    <row r="200" ht="18.04511278195489" customHeight="1">
      <c r="A200" s="49" t="n"/>
      <c r="B200" s="49" t="n"/>
      <c r="C200" s="49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7" t="n"/>
    </row>
    <row r="201" ht="18.04511278195489" customHeight="1">
      <c r="A201" s="49" t="n"/>
      <c r="B201" s="49" t="n"/>
      <c r="C201" s="49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7" t="n"/>
    </row>
    <row r="202" ht="18.04511278195489" customHeight="1">
      <c r="A202" s="49" t="n"/>
      <c r="B202" s="49" t="n"/>
      <c r="C202" s="49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7" t="n"/>
    </row>
    <row r="203" ht="18.04511278195489" customHeight="1">
      <c r="A203" s="49" t="n"/>
      <c r="B203" s="49" t="n"/>
      <c r="C203" s="49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7" t="n"/>
    </row>
    <row r="204" ht="18.04511278195489" customHeight="1">
      <c r="A204" s="49" t="n"/>
      <c r="B204" s="49" t="n"/>
      <c r="C204" s="49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7" t="n"/>
    </row>
    <row r="205" ht="18.04511278195489" customHeight="1">
      <c r="A205" s="49" t="n"/>
      <c r="B205" s="49" t="n"/>
      <c r="C205" s="49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7" t="n"/>
    </row>
    <row r="206" ht="18.04511278195489" customHeight="1">
      <c r="A206" s="49" t="n"/>
      <c r="B206" s="49" t="n"/>
      <c r="C206" s="49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7" t="n"/>
    </row>
    <row r="207" ht="18.04511278195489" customHeight="1">
      <c r="A207" s="49" t="n"/>
      <c r="B207" s="49" t="n"/>
      <c r="C207" s="49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7" t="n"/>
    </row>
    <row r="208" ht="18.04511278195489" customHeight="1">
      <c r="A208" s="49" t="n"/>
      <c r="B208" s="49" t="n"/>
      <c r="C208" s="49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7" t="n"/>
    </row>
    <row r="209" ht="18.04511278195489" customHeight="1">
      <c r="A209" s="49" t="n"/>
      <c r="B209" s="49" t="n"/>
      <c r="C209" s="49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7" t="n"/>
    </row>
    <row r="210" ht="18.04511278195489" customHeight="1">
      <c r="A210" s="49" t="n"/>
      <c r="B210" s="49" t="n"/>
      <c r="C210" s="49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7" t="n"/>
    </row>
    <row r="211" ht="18.04511278195489" customHeight="1">
      <c r="A211" s="49" t="n"/>
      <c r="B211" s="49" t="n"/>
      <c r="C211" s="49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7" t="n"/>
    </row>
    <row r="212" ht="18.04511278195489" customHeight="1">
      <c r="A212" s="49" t="n"/>
      <c r="B212" s="49" t="n"/>
      <c r="C212" s="49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7" t="n"/>
    </row>
    <row r="213" ht="18.04511278195489" customHeight="1">
      <c r="A213" s="49" t="n"/>
      <c r="B213" s="49" t="n"/>
      <c r="C213" s="49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7" t="n"/>
    </row>
    <row r="214" ht="18.04511278195489" customHeight="1">
      <c r="A214" s="49" t="n"/>
      <c r="B214" s="49" t="n"/>
      <c r="C214" s="49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7" t="n"/>
    </row>
    <row r="215" ht="18.04511278195489" customHeight="1">
      <c r="A215" s="49" t="n"/>
      <c r="B215" s="49" t="n"/>
      <c r="C215" s="49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7" t="n"/>
    </row>
    <row r="216" ht="18.04511278195489" customHeight="1">
      <c r="A216" s="49" t="n"/>
      <c r="B216" s="49" t="n"/>
      <c r="C216" s="49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7" t="n"/>
    </row>
    <row r="217" ht="18.04511278195489" customHeight="1">
      <c r="A217" s="49" t="n"/>
      <c r="B217" s="49" t="n"/>
      <c r="C217" s="49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7" t="n"/>
    </row>
    <row r="218" ht="18.04511278195489" customHeight="1">
      <c r="A218" s="49" t="n"/>
      <c r="B218" s="49" t="n"/>
      <c r="C218" s="49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7" t="n"/>
    </row>
    <row r="219" ht="18.04511278195489" customHeight="1">
      <c r="A219" s="49" t="n"/>
      <c r="B219" s="49" t="n"/>
      <c r="C219" s="49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7" t="n"/>
    </row>
    <row r="220" ht="18.04511278195489" customHeight="1">
      <c r="A220" s="49" t="n"/>
      <c r="B220" s="49" t="n"/>
      <c r="C220" s="49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7" t="n"/>
    </row>
    <row r="221" ht="18.04511278195489" customHeight="1">
      <c r="A221" s="49" t="n"/>
      <c r="B221" s="49" t="n"/>
      <c r="C221" s="49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7" t="n"/>
    </row>
    <row r="222" ht="18.04511278195489" customHeight="1">
      <c r="A222" s="49" t="n"/>
      <c r="B222" s="49" t="n"/>
      <c r="C222" s="49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7" t="n"/>
    </row>
    <row r="223" ht="18.04511278195489" customHeight="1">
      <c r="A223" s="49" t="n"/>
      <c r="B223" s="49" t="n"/>
      <c r="C223" s="49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7" t="n"/>
    </row>
    <row r="224" ht="18.04511278195489" customHeight="1">
      <c r="A224" s="49" t="n"/>
      <c r="B224" s="49" t="n"/>
      <c r="C224" s="49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7" t="n"/>
    </row>
    <row r="225" ht="18.04511278195489" customHeight="1">
      <c r="A225" s="49" t="n"/>
      <c r="B225" s="49" t="n"/>
      <c r="C225" s="49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7" t="n"/>
    </row>
    <row r="226" ht="18.04511278195489" customHeight="1">
      <c r="A226" s="49" t="n"/>
      <c r="B226" s="49" t="n"/>
      <c r="C226" s="49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7" t="n"/>
    </row>
    <row r="227" ht="18.04511278195489" customHeight="1">
      <c r="A227" s="49" t="n"/>
      <c r="B227" s="49" t="n"/>
      <c r="C227" s="49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7" t="n"/>
    </row>
    <row r="228" ht="18.04511278195489" customHeight="1">
      <c r="A228" s="49" t="n"/>
      <c r="B228" s="49" t="n"/>
      <c r="C228" s="49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7" t="n"/>
    </row>
    <row r="229" ht="18.04511278195489" customHeight="1">
      <c r="A229" s="49" t="n"/>
      <c r="B229" s="49" t="n"/>
      <c r="C229" s="49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7" t="n"/>
    </row>
    <row r="230" ht="18.04511278195489" customHeight="1">
      <c r="A230" s="49" t="n"/>
      <c r="B230" s="49" t="n"/>
      <c r="C230" s="49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7" t="n"/>
    </row>
    <row r="231" ht="18.04511278195489" customHeight="1">
      <c r="A231" s="49" t="n"/>
      <c r="B231" s="49" t="n"/>
      <c r="C231" s="49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7" t="n"/>
    </row>
    <row r="232" ht="18.04511278195489" customHeight="1">
      <c r="A232" s="49" t="n"/>
      <c r="B232" s="49" t="n"/>
      <c r="C232" s="49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7" t="n"/>
    </row>
    <row r="233" ht="18.04511278195489" customHeight="1">
      <c r="A233" s="49" t="n"/>
      <c r="B233" s="49" t="n"/>
      <c r="C233" s="49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7" t="n"/>
    </row>
    <row r="234" ht="18.04511278195489" customHeight="1">
      <c r="A234" s="49" t="n"/>
      <c r="B234" s="49" t="n"/>
      <c r="C234" s="49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7" t="n"/>
    </row>
    <row r="235" ht="18.04511278195489" customHeight="1">
      <c r="A235" s="49" t="n"/>
      <c r="B235" s="49" t="n"/>
      <c r="C235" s="49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7" t="n"/>
    </row>
    <row r="236" ht="18.04511278195489" customHeight="1">
      <c r="A236" s="49" t="n"/>
      <c r="B236" s="49" t="n"/>
      <c r="C236" s="49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7" t="n"/>
    </row>
    <row r="237" ht="18.04511278195489" customHeight="1">
      <c r="A237" s="49" t="n"/>
      <c r="B237" s="49" t="n"/>
      <c r="C237" s="49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7" t="n"/>
    </row>
    <row r="238" ht="18.04511278195489" customHeight="1">
      <c r="A238" s="49" t="n"/>
      <c r="B238" s="49" t="n"/>
      <c r="C238" s="49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7" t="n"/>
    </row>
    <row r="239" ht="18.04511278195489" customHeight="1">
      <c r="A239" s="49" t="n"/>
      <c r="B239" s="49" t="n"/>
      <c r="C239" s="49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7" t="n"/>
    </row>
    <row r="240" ht="18.04511278195489" customHeight="1">
      <c r="A240" s="49" t="n"/>
      <c r="B240" s="49" t="n"/>
      <c r="C240" s="49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7" t="n"/>
    </row>
    <row r="241" ht="18.04511278195489" customHeight="1">
      <c r="A241" s="49" t="n"/>
      <c r="B241" s="49" t="n"/>
      <c r="C241" s="49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7" t="n"/>
    </row>
    <row r="242" ht="18.04511278195489" customHeight="1">
      <c r="A242" s="49" t="n"/>
      <c r="B242" s="49" t="n"/>
      <c r="C242" s="49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7" t="n"/>
    </row>
    <row r="243" ht="18.04511278195489" customHeight="1">
      <c r="A243" s="49" t="n"/>
      <c r="B243" s="49" t="n"/>
      <c r="C243" s="49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7" t="n"/>
    </row>
    <row r="244" ht="18.04511278195489" customHeight="1">
      <c r="A244" s="49" t="n"/>
      <c r="B244" s="49" t="n"/>
      <c r="C244" s="49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7" t="n"/>
    </row>
    <row r="245" ht="18.04511278195489" customHeight="1">
      <c r="A245" s="49" t="n"/>
      <c r="B245" s="49" t="n"/>
      <c r="C245" s="49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7" t="n"/>
    </row>
    <row r="246" ht="18.04511278195489" customHeight="1">
      <c r="A246" s="49" t="n"/>
      <c r="B246" s="49" t="n"/>
      <c r="C246" s="49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7" t="n"/>
    </row>
    <row r="247" ht="18.04511278195489" customHeight="1">
      <c r="A247" s="49" t="n"/>
      <c r="B247" s="49" t="n"/>
      <c r="C247" s="49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7" t="n"/>
    </row>
    <row r="248" ht="18.04511278195489" customHeight="1">
      <c r="A248" s="49" t="n"/>
      <c r="B248" s="49" t="n"/>
      <c r="C248" s="49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7" t="n"/>
    </row>
    <row r="249" ht="18.04511278195489" customHeight="1">
      <c r="A249" s="49" t="n"/>
      <c r="B249" s="49" t="n"/>
      <c r="C249" s="49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7" t="n"/>
    </row>
    <row r="250" ht="18.04511278195489" customHeight="1">
      <c r="A250" s="49" t="n"/>
      <c r="B250" s="49" t="n"/>
      <c r="C250" s="49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7" t="n"/>
    </row>
    <row r="251" ht="18.04511278195489" customHeight="1">
      <c r="A251" s="49" t="n"/>
      <c r="B251" s="49" t="n"/>
      <c r="C251" s="49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7" t="n"/>
    </row>
    <row r="252" ht="18.04511278195489" customHeight="1">
      <c r="A252" s="49" t="n"/>
      <c r="B252" s="49" t="n"/>
      <c r="C252" s="49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7" t="n"/>
    </row>
    <row r="253" ht="18.04511278195489" customHeight="1">
      <c r="A253" s="49" t="n"/>
      <c r="B253" s="49" t="n"/>
      <c r="C253" s="49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7" t="n"/>
    </row>
    <row r="254" ht="18.04511278195489" customHeight="1">
      <c r="A254" s="49" t="n"/>
      <c r="B254" s="49" t="n"/>
      <c r="C254" s="49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7" t="n"/>
    </row>
    <row r="255" ht="18.04511278195489" customHeight="1">
      <c r="A255" s="49" t="n"/>
      <c r="B255" s="49" t="n"/>
      <c r="C255" s="49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7" t="n"/>
    </row>
    <row r="256" ht="18.04511278195489" customHeight="1">
      <c r="A256" s="49" t="n"/>
      <c r="B256" s="49" t="n"/>
      <c r="C256" s="49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7" t="n"/>
    </row>
    <row r="257" ht="18.04511278195489" customHeight="1">
      <c r="A257" s="49" t="n"/>
      <c r="B257" s="49" t="n"/>
      <c r="C257" s="49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7" t="n"/>
    </row>
    <row r="258" ht="18.04511278195489" customHeight="1">
      <c r="A258" s="49" t="n"/>
      <c r="B258" s="49" t="n"/>
      <c r="C258" s="49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7" t="n"/>
    </row>
    <row r="259" ht="18.04511278195489" customHeight="1">
      <c r="A259" s="49" t="n"/>
      <c r="B259" s="49" t="n"/>
      <c r="C259" s="49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7" t="n"/>
    </row>
    <row r="260" ht="18.04511278195489" customHeight="1">
      <c r="A260" s="49" t="n"/>
      <c r="B260" s="49" t="n"/>
      <c r="C260" s="49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7" t="n"/>
    </row>
    <row r="261" ht="18.04511278195489" customHeight="1">
      <c r="A261" s="49" t="n"/>
      <c r="B261" s="49" t="n"/>
      <c r="C261" s="49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7" t="n"/>
    </row>
    <row r="262" ht="18.04511278195489" customHeight="1">
      <c r="A262" s="49" t="n"/>
      <c r="B262" s="49" t="n"/>
      <c r="C262" s="49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7" t="n"/>
    </row>
    <row r="263" ht="18.04511278195489" customHeight="1">
      <c r="A263" s="49" t="n"/>
      <c r="B263" s="49" t="n"/>
      <c r="C263" s="49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7" t="n"/>
    </row>
    <row r="264" ht="18.04511278195489" customHeight="1">
      <c r="A264" s="49" t="n"/>
      <c r="B264" s="49" t="n"/>
      <c r="C264" s="49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7" t="n"/>
    </row>
    <row r="265" ht="18.04511278195489" customHeight="1">
      <c r="A265" s="49" t="n"/>
      <c r="B265" s="49" t="n"/>
      <c r="C265" s="49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7" t="n"/>
    </row>
    <row r="266" ht="18.04511278195489" customHeight="1">
      <c r="A266" s="49" t="n"/>
      <c r="B266" s="49" t="n"/>
      <c r="C266" s="49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7" t="n"/>
    </row>
    <row r="267" ht="18.04511278195489" customHeight="1">
      <c r="A267" s="49" t="n"/>
      <c r="B267" s="49" t="n"/>
      <c r="C267" s="49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7" t="n"/>
    </row>
    <row r="268" ht="18.04511278195489" customHeight="1">
      <c r="A268" s="49" t="n"/>
      <c r="B268" s="49" t="n"/>
      <c r="C268" s="49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7" t="n"/>
    </row>
    <row r="269" ht="18.04511278195489" customHeight="1">
      <c r="A269" s="49" t="n"/>
      <c r="B269" s="49" t="n"/>
      <c r="C269" s="49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7" t="n"/>
    </row>
    <row r="270" ht="18.04511278195489" customHeight="1">
      <c r="A270" s="49" t="n"/>
      <c r="B270" s="49" t="n"/>
      <c r="C270" s="49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7" t="n"/>
    </row>
    <row r="271" ht="18.04511278195489" customHeight="1">
      <c r="A271" s="49" t="n"/>
      <c r="B271" s="49" t="n"/>
      <c r="C271" s="49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7" t="n"/>
    </row>
    <row r="272" ht="18.04511278195489" customHeight="1">
      <c r="A272" s="49" t="n"/>
      <c r="B272" s="49" t="n"/>
      <c r="C272" s="49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7" t="n"/>
    </row>
    <row r="273" ht="18.04511278195489" customHeight="1">
      <c r="A273" s="49" t="n"/>
      <c r="B273" s="49" t="n"/>
      <c r="C273" s="49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7" t="n"/>
    </row>
    <row r="274" ht="18.04511278195489" customHeight="1">
      <c r="A274" s="49" t="n"/>
      <c r="B274" s="49" t="n"/>
      <c r="C274" s="49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7" t="n"/>
    </row>
    <row r="275" ht="18.04511278195489" customHeight="1">
      <c r="A275" s="49" t="n"/>
      <c r="B275" s="49" t="n"/>
      <c r="C275" s="49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7" t="n"/>
    </row>
    <row r="276" ht="18.04511278195489" customHeight="1">
      <c r="A276" s="49" t="n"/>
      <c r="B276" s="49" t="n"/>
      <c r="C276" s="49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7" t="n"/>
    </row>
    <row r="277" ht="18.04511278195489" customHeight="1">
      <c r="A277" s="49" t="n"/>
      <c r="B277" s="49" t="n"/>
      <c r="C277" s="49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7" t="n"/>
    </row>
    <row r="278" ht="18.04511278195489" customHeight="1">
      <c r="A278" s="49" t="n"/>
      <c r="B278" s="49" t="n"/>
      <c r="C278" s="49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7" t="n"/>
    </row>
    <row r="279" ht="18.04511278195489" customHeight="1">
      <c r="A279" s="49" t="n"/>
      <c r="B279" s="49" t="n"/>
      <c r="C279" s="49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7" t="n"/>
    </row>
    <row r="280" ht="18.04511278195489" customHeight="1">
      <c r="A280" s="49" t="n"/>
      <c r="B280" s="49" t="n"/>
      <c r="C280" s="49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7" t="n"/>
    </row>
    <row r="281" ht="18.04511278195489" customHeight="1">
      <c r="A281" s="49" t="n"/>
      <c r="B281" s="49" t="n"/>
      <c r="C281" s="49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7" t="n"/>
    </row>
    <row r="282" ht="18.04511278195489" customHeight="1">
      <c r="A282" s="49" t="n"/>
      <c r="B282" s="49" t="n"/>
      <c r="C282" s="49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7" t="n"/>
    </row>
    <row r="283" ht="18.04511278195489" customHeight="1">
      <c r="A283" s="49" t="n"/>
      <c r="B283" s="49" t="n"/>
      <c r="C283" s="49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7" t="n"/>
    </row>
    <row r="284" ht="18.04511278195489" customHeight="1">
      <c r="A284" s="49" t="n"/>
      <c r="B284" s="49" t="n"/>
      <c r="C284" s="49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7" t="n"/>
    </row>
    <row r="285" ht="18.04511278195489" customHeight="1">
      <c r="A285" s="49" t="n"/>
      <c r="B285" s="49" t="n"/>
      <c r="C285" s="49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7" t="n"/>
    </row>
    <row r="286" ht="18.04511278195489" customHeight="1">
      <c r="A286" s="49" t="n"/>
      <c r="B286" s="49" t="n"/>
      <c r="C286" s="49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7" t="n"/>
    </row>
    <row r="287" ht="18.04511278195489" customHeight="1">
      <c r="A287" s="49" t="n"/>
      <c r="B287" s="49" t="n"/>
      <c r="C287" s="49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7" t="n"/>
    </row>
    <row r="288" ht="18.04511278195489" customHeight="1">
      <c r="A288" s="49" t="n"/>
      <c r="B288" s="49" t="n"/>
      <c r="C288" s="49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7" t="n"/>
    </row>
    <row r="289" ht="18.04511278195489" customHeight="1">
      <c r="A289" s="49" t="n"/>
      <c r="B289" s="49" t="n"/>
      <c r="C289" s="49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7" t="n"/>
    </row>
    <row r="290" ht="18.04511278195489" customHeight="1">
      <c r="A290" s="49" t="n"/>
      <c r="B290" s="49" t="n"/>
      <c r="C290" s="49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7" t="n"/>
    </row>
    <row r="291" ht="18.04511278195489" customHeight="1">
      <c r="A291" s="49" t="n"/>
      <c r="B291" s="49" t="n"/>
      <c r="C291" s="49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7" t="n"/>
    </row>
    <row r="292" ht="18.04511278195489" customHeight="1">
      <c r="A292" s="49" t="n"/>
      <c r="B292" s="49" t="n"/>
      <c r="C292" s="49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7" t="n"/>
    </row>
    <row r="293" ht="18.04511278195489" customHeight="1">
      <c r="A293" s="49" t="n"/>
      <c r="B293" s="49" t="n"/>
      <c r="C293" s="49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7" t="n"/>
    </row>
    <row r="294" ht="18.04511278195489" customHeight="1"/>
    <row r="295" ht="18.04511278195489" customHeight="1"/>
  </sheetData>
  <mergeCells count="48">
    <mergeCell ref="E12:F12"/>
    <mergeCell ref="E24:F24"/>
    <mergeCell ref="E33:F33"/>
    <mergeCell ref="D100:D116"/>
    <mergeCell ref="E23:F23"/>
    <mergeCell ref="E5:F5"/>
    <mergeCell ref="E14:F14"/>
    <mergeCell ref="E17:F17"/>
    <mergeCell ref="E39:F39"/>
    <mergeCell ref="E8:F8"/>
    <mergeCell ref="D1:F2"/>
    <mergeCell ref="E4:F4"/>
    <mergeCell ref="E35:F35"/>
    <mergeCell ref="E20:F20"/>
    <mergeCell ref="E10:F10"/>
    <mergeCell ref="E29:F29"/>
    <mergeCell ref="E19:F19"/>
    <mergeCell ref="E28:F28"/>
    <mergeCell ref="E13:F13"/>
    <mergeCell ref="B1:C1"/>
    <mergeCell ref="E9:F9"/>
    <mergeCell ref="H1:K1"/>
    <mergeCell ref="E40:F40"/>
    <mergeCell ref="L1:L2"/>
    <mergeCell ref="E31:F31"/>
    <mergeCell ref="E34:F34"/>
    <mergeCell ref="E30:F30"/>
    <mergeCell ref="E6:F6"/>
    <mergeCell ref="E15:F15"/>
    <mergeCell ref="E11:F11"/>
    <mergeCell ref="E27:F27"/>
    <mergeCell ref="E36:F36"/>
    <mergeCell ref="G1:G2"/>
    <mergeCell ref="D42:D76"/>
    <mergeCell ref="E26:F26"/>
    <mergeCell ref="A1:A2"/>
    <mergeCell ref="E32:F32"/>
    <mergeCell ref="E21:F21"/>
    <mergeCell ref="E16:F16"/>
    <mergeCell ref="E7:F7"/>
    <mergeCell ref="E41:F41"/>
    <mergeCell ref="E25:F25"/>
    <mergeCell ref="D77:D83"/>
    <mergeCell ref="E22:F22"/>
    <mergeCell ref="E18:F18"/>
    <mergeCell ref="E3:F3"/>
    <mergeCell ref="D94:D99"/>
    <mergeCell ref="D5:D3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 outlineLevelRow="0"/>
  <cols>
    <col width="19.95" customWidth="1" min="1" max="20"/>
  </cols>
  <sheetData>
    <row r="1" ht="28.57142857142857" customHeight="1">
      <c r="A1" s="110" t="inlineStr">
        <is>
          <t>参数表版本说明</t>
        </is>
      </c>
      <c r="B1" s="135" t="n"/>
      <c r="C1" s="135" t="n"/>
      <c r="D1" s="135" t="n"/>
      <c r="E1" s="135" t="n"/>
      <c r="F1" s="135" t="n"/>
      <c r="G1" s="135" t="n"/>
      <c r="H1" s="135" t="n"/>
      <c r="I1" s="136" t="n"/>
    </row>
    <row r="2" ht="50.37593984962406" customHeight="1">
      <c r="A2" s="111" t="inlineStr">
        <is>
          <t>v1.0</t>
        </is>
      </c>
      <c r="B2" s="112" t="inlineStr">
        <is>
          <t>第一版初步的参数表接口</t>
        </is>
      </c>
      <c r="C2" s="122" t="n"/>
      <c r="D2" s="122" t="n"/>
      <c r="E2" s="122" t="n"/>
      <c r="F2" s="122" t="n"/>
      <c r="G2" s="122" t="n"/>
      <c r="H2" s="122" t="n"/>
      <c r="I2" s="119" t="n"/>
    </row>
    <row r="3" ht="59.3984962406015" customHeight="1">
      <c r="A3" s="113" t="inlineStr">
        <is>
          <t>v1.1</t>
        </is>
      </c>
      <c r="B3" s="114" t="inlineStr">
        <is>
          <t>2026-10-24 按评审答复修订</t>
        </is>
      </c>
      <c r="C3" s="122" t="n"/>
      <c r="D3" s="122" t="n"/>
      <c r="E3" s="122" t="n"/>
      <c r="F3" s="122" t="n"/>
      <c r="G3" s="122" t="n"/>
      <c r="H3" s="122" t="n"/>
      <c r="I3" s="119" t="n"/>
    </row>
    <row r="4" ht="50.37593984962406" customHeight="1">
      <c r="A4" s="115" t="n"/>
      <c r="B4" s="113" t="inlineStr">
        <is>
          <t>1) 删除 0x2024/0x2025 的重复行（监听开关 / HP音量），ENC 保留在 0x2024/0x2025；监听以 0x2059/0x205A 为准</t>
        </is>
      </c>
      <c r="C4" s="122" t="n"/>
      <c r="D4" s="122" t="n"/>
      <c r="E4" s="122" t="n"/>
      <c r="F4" s="122" t="n"/>
      <c r="G4" s="122" t="n"/>
      <c r="H4" s="122" t="n"/>
      <c r="I4" s="119" t="n"/>
    </row>
    <row r="5" ht="50.37593984962406" customHeight="1">
      <c r="A5" s="115" t="n"/>
      <c r="B5" s="113" t="inlineStr">
        <is>
          <t>2) 字符串字段改为大端打包：机型码 JYM001 → 0x4A59/0x4D30/0x3031，设备名 M001 → 0x4D30/0x3031</t>
        </is>
      </c>
      <c r="C5" s="122" t="n"/>
      <c r="D5" s="122" t="n"/>
      <c r="E5" s="122" t="n"/>
      <c r="F5" s="122" t="n"/>
      <c r="G5" s="122" t="n"/>
      <c r="H5" s="122" t="n"/>
      <c r="I5" s="119" t="n"/>
    </row>
    <row r="6" ht="50.37593984962406" customHeight="1">
      <c r="A6" s="115" t="n"/>
      <c r="B6" s="113" t="inlineStr">
        <is>
          <t>3) 3BandDrc ratio（0x2067/0x206C/0x2071）补标定式 value=param/10</t>
        </is>
      </c>
      <c r="C6" s="122" t="n"/>
      <c r="D6" s="122" t="n"/>
      <c r="E6" s="122" t="n"/>
      <c r="F6" s="122" t="n"/>
      <c r="G6" s="122" t="n"/>
      <c r="H6" s="122" t="n"/>
      <c r="I6" s="119" t="n"/>
    </row>
    <row r="7" ht="50.37593984962406" customHeight="1">
      <c r="A7" s="115" t="n"/>
      <c r="B7" s="113" t="inlineStr">
        <is>
          <t>4) 说明：EQ 仅开放 Band-1~7（0x2027~0x2049），其余 7 段为 DSP 内部参数，无寄存器</t>
        </is>
      </c>
      <c r="C7" s="122" t="n"/>
      <c r="D7" s="122" t="n"/>
      <c r="E7" s="122" t="n"/>
      <c r="F7" s="122" t="n"/>
      <c r="G7" s="122" t="n"/>
      <c r="H7" s="122" t="n"/>
      <c r="I7" s="119" t="n"/>
    </row>
    <row r="8" ht="50.37593984962406" customHeight="1">
      <c r="A8" s="115" t="n"/>
      <c r="B8" s="113" t="inlineStr">
        <is>
          <t>5) 量纲待定：MIC Gain / HP Gain 现为 [0,100] 百分比只读，与《效果器参数范围.xlsx》的 dB 范围待统一</t>
        </is>
      </c>
      <c r="C8" s="122" t="n"/>
      <c r="D8" s="122" t="n"/>
      <c r="E8" s="122" t="n"/>
      <c r="F8" s="122" t="n"/>
      <c r="G8" s="122" t="n"/>
      <c r="H8" s="122" t="n"/>
      <c r="I8" s="119" t="n"/>
    </row>
    <row r="9" ht="50.37593984962406" customHeight="1">
      <c r="A9" s="115" t="n"/>
      <c r="B9" s="113" t="n"/>
      <c r="C9" s="122" t="n"/>
      <c r="D9" s="122" t="n"/>
      <c r="E9" s="122" t="n"/>
      <c r="F9" s="122" t="n"/>
      <c r="G9" s="122" t="n"/>
      <c r="H9" s="122" t="n"/>
      <c r="I9" s="119" t="n"/>
    </row>
    <row r="10" ht="50.37593984962406" customHeight="1">
      <c r="A10" s="115" t="n"/>
      <c r="B10" s="113" t="n"/>
      <c r="C10" s="122" t="n"/>
      <c r="D10" s="122" t="n"/>
      <c r="E10" s="122" t="n"/>
      <c r="F10" s="122" t="n"/>
      <c r="G10" s="122" t="n"/>
      <c r="H10" s="122" t="n"/>
      <c r="I10" s="119" t="n"/>
    </row>
    <row r="11" ht="50.37593984962406" customHeight="1">
      <c r="A11" s="115" t="n"/>
      <c r="B11" s="113" t="n"/>
      <c r="C11" s="122" t="n"/>
      <c r="D11" s="122" t="n"/>
      <c r="E11" s="122" t="n"/>
      <c r="F11" s="122" t="n"/>
      <c r="G11" s="122" t="n"/>
      <c r="H11" s="122" t="n"/>
      <c r="I11" s="119" t="n"/>
    </row>
    <row r="12" ht="50.37593984962406" customHeight="1">
      <c r="A12" s="115" t="n"/>
      <c r="B12" s="113" t="n"/>
      <c r="C12" s="122" t="n"/>
      <c r="D12" s="122" t="n"/>
      <c r="E12" s="122" t="n"/>
      <c r="F12" s="122" t="n"/>
      <c r="G12" s="122" t="n"/>
      <c r="H12" s="122" t="n"/>
      <c r="I12" s="119" t="n"/>
    </row>
    <row r="13" ht="50.37593984962406" customHeight="1">
      <c r="A13" s="115" t="n"/>
      <c r="B13" s="113" t="n"/>
      <c r="C13" s="122" t="n"/>
      <c r="D13" s="122" t="n"/>
      <c r="E13" s="122" t="n"/>
      <c r="F13" s="122" t="n"/>
      <c r="G13" s="122" t="n"/>
      <c r="H13" s="122" t="n"/>
      <c r="I13" s="119" t="n"/>
    </row>
    <row r="14" ht="50.37593984962406" customHeight="1">
      <c r="A14" s="115" t="n"/>
      <c r="B14" s="113" t="n"/>
      <c r="C14" s="122" t="n"/>
      <c r="D14" s="122" t="n"/>
      <c r="E14" s="122" t="n"/>
      <c r="F14" s="122" t="n"/>
      <c r="G14" s="122" t="n"/>
      <c r="H14" s="122" t="n"/>
      <c r="I14" s="119" t="n"/>
    </row>
    <row r="15" ht="50.37593984962406" customHeight="1">
      <c r="A15" s="115" t="n"/>
      <c r="B15" s="113" t="n"/>
      <c r="C15" s="122" t="n"/>
      <c r="D15" s="122" t="n"/>
      <c r="E15" s="122" t="n"/>
      <c r="F15" s="122" t="n"/>
      <c r="G15" s="122" t="n"/>
      <c r="H15" s="122" t="n"/>
      <c r="I15" s="119" t="n"/>
    </row>
    <row r="16" ht="50.37593984962406" customHeight="1">
      <c r="A16" s="115" t="n"/>
      <c r="B16" s="113" t="n"/>
      <c r="C16" s="122" t="n"/>
      <c r="D16" s="122" t="n"/>
      <c r="E16" s="122" t="n"/>
      <c r="F16" s="122" t="n"/>
      <c r="G16" s="122" t="n"/>
      <c r="H16" s="122" t="n"/>
      <c r="I16" s="119" t="n"/>
    </row>
    <row r="17" ht="50.37593984962406" customHeight="1">
      <c r="A17" s="115" t="n"/>
      <c r="B17" s="113" t="n"/>
      <c r="C17" s="122" t="n"/>
      <c r="D17" s="122" t="n"/>
      <c r="E17" s="122" t="n"/>
      <c r="F17" s="122" t="n"/>
      <c r="G17" s="122" t="n"/>
      <c r="H17" s="122" t="n"/>
      <c r="I17" s="119" t="n"/>
    </row>
    <row r="18" ht="18.04511278195489" customHeight="1"/>
    <row r="19" ht="18.04511278195489" customHeight="1"/>
    <row r="20" ht="18.04511278195489" customHeight="1"/>
    <row r="21" ht="18.04511278195489" customHeight="1"/>
    <row r="22" ht="18.04511278195489" customHeight="1"/>
    <row r="23" ht="18.04511278195489" customHeight="1"/>
    <row r="24" ht="18.04511278195489" customHeight="1"/>
    <row r="25" ht="18.04511278195489" customHeight="1"/>
    <row r="26" ht="18.04511278195489" customHeight="1"/>
    <row r="27" ht="18.04511278195489" customHeight="1"/>
    <row r="28" ht="18.04511278195489" customHeight="1"/>
    <row r="29" ht="18.04511278195489" customHeight="1"/>
    <row r="30" ht="18.04511278195489" customHeight="1"/>
    <row r="31" ht="18.04511278195489" customHeight="1"/>
    <row r="32" ht="18.04511278195489" customHeight="1"/>
    <row r="33" ht="18.04511278195489" customHeight="1"/>
    <row r="34" ht="18.04511278195489" customHeight="1"/>
    <row r="35" ht="18.04511278195489" customHeight="1"/>
    <row r="36" ht="18.04511278195489" customHeight="1"/>
    <row r="37" ht="18.04511278195489" customHeight="1"/>
    <row r="38" ht="18.04511278195489" customHeight="1"/>
    <row r="39" ht="18.04511278195489" customHeight="1"/>
    <row r="40" ht="18.04511278195489" customHeight="1"/>
    <row r="41" ht="18.04511278195489" customHeight="1"/>
    <row r="42" ht="18.04511278195489" customHeight="1"/>
    <row r="43" ht="18.04511278195489" customHeight="1"/>
    <row r="44" ht="18.04511278195489" customHeight="1"/>
    <row r="45" ht="18.04511278195489" customHeight="1"/>
    <row r="46" ht="18.04511278195489" customHeight="1"/>
    <row r="47" ht="18.04511278195489" customHeight="1"/>
    <row r="48" ht="18.04511278195489" customHeight="1"/>
    <row r="49" ht="18.04511278195489" customHeight="1"/>
    <row r="50" ht="18.04511278195489" customHeight="1"/>
  </sheetData>
  <mergeCells count="17">
    <mergeCell ref="B9:I9"/>
    <mergeCell ref="B13:I13"/>
    <mergeCell ref="B12:I12"/>
    <mergeCell ref="B15:I15"/>
    <mergeCell ref="B7:I7"/>
    <mergeCell ref="B11:I11"/>
    <mergeCell ref="B6:I6"/>
    <mergeCell ref="B2:I2"/>
    <mergeCell ref="B16:I16"/>
    <mergeCell ref="B10:I10"/>
    <mergeCell ref="A1:I1"/>
    <mergeCell ref="B3:I3"/>
    <mergeCell ref="B5:I5"/>
    <mergeCell ref="B14:I14"/>
    <mergeCell ref="B8:I8"/>
    <mergeCell ref="B4:I4"/>
    <mergeCell ref="B17:I1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:D10"/>
  <sheetViews>
    <sheetView workbookViewId="0">
      <selection activeCell="A1" sqref="A1"/>
    </sheetView>
  </sheetViews>
  <sheetFormatPr baseColWidth="8" defaultRowHeight="15" outlineLevelRow="0"/>
  <cols>
    <col width="11.523203125" customWidth="1" min="1" max="1"/>
    <col width="17.29" customWidth="1" min="2" max="2"/>
    <col width="4.208203125" customWidth="1" min="3" max="3"/>
    <col width="17.29" customWidth="1" min="4" max="4"/>
    <col width="19.95" customWidth="1" min="5" max="20"/>
  </cols>
  <sheetData>
    <row r="1" ht="18.04511278195489" customHeight="1"/>
    <row r="2" ht="18.04511278195489" customHeight="1"/>
    <row r="3" ht="18.04511278195489" customHeight="1"/>
    <row r="4" ht="18.04511278195489" customHeight="1"/>
    <row r="5" ht="25.56390977443609" customHeight="1">
      <c r="A5" s="49" t="n"/>
      <c r="B5" s="116" t="inlineStr">
        <is>
          <t>参数值</t>
        </is>
      </c>
      <c r="C5" s="116" t="inlineStr">
        <is>
          <t>-&gt;</t>
        </is>
      </c>
      <c r="D5" s="116" t="inlineStr">
        <is>
          <t>实际值</t>
        </is>
      </c>
    </row>
    <row r="6" ht="18.04511278195489" customHeight="1">
      <c r="A6" s="49" t="n"/>
      <c r="B6" s="8" t="n">
        <v>1</v>
      </c>
      <c r="C6" s="49" t="n"/>
      <c r="D6" s="117">
        <f>(B6-2000)/10</f>
        <v/>
      </c>
    </row>
    <row r="7" ht="18.04511278195489" customHeight="1"/>
    <row r="8" ht="18.04511278195489" customHeight="1"/>
    <row r="9" ht="26.31578947368421" customHeight="1">
      <c r="A9" s="49" t="n"/>
      <c r="B9" s="118" t="inlineStr">
        <is>
          <t>实际值</t>
        </is>
      </c>
      <c r="C9" s="118" t="inlineStr">
        <is>
          <t>-&gt;</t>
        </is>
      </c>
      <c r="D9" s="118" t="inlineStr">
        <is>
          <t>参数值</t>
        </is>
      </c>
    </row>
    <row r="10" ht="18.04511278195489" customHeight="1">
      <c r="A10" s="49" t="n"/>
      <c r="B10" s="8" t="n">
        <v>15</v>
      </c>
      <c r="C10" s="49" t="n"/>
      <c r="D10" s="8">
        <f>B10*10+2000</f>
        <v/>
      </c>
    </row>
    <row r="11" ht="18.04511278195489" customHeight="1"/>
    <row r="12" ht="18.04511278195489" customHeight="1"/>
    <row r="13" ht="18.04511278195489" customHeight="1"/>
    <row r="14" ht="18.04511278195489" customHeight="1"/>
    <row r="15" ht="18.04511278195489" customHeight="1"/>
    <row r="16" ht="18.04511278195489" customHeight="1"/>
    <row r="17" ht="18.04511278195489" customHeight="1"/>
    <row r="18" ht="18.04511278195489" customHeight="1"/>
    <row r="19" ht="18.04511278195489" customHeight="1"/>
    <row r="20" ht="18.04511278195489" customHeight="1"/>
    <row r="21" ht="18.04511278195489" customHeight="1"/>
    <row r="22" ht="18.04511278195489" customHeight="1"/>
    <row r="23" ht="18.04511278195489" customHeight="1"/>
    <row r="24" ht="18.04511278195489" customHeight="1"/>
    <row r="25" ht="18.04511278195489" customHeight="1"/>
    <row r="26" ht="18.04511278195489" customHeight="1"/>
    <row r="27" ht="18.04511278195489" customHeight="1"/>
    <row r="28" ht="18.04511278195489" customHeight="1"/>
    <row r="29" ht="18.04511278195489" customHeight="1"/>
    <row r="30" ht="18.04511278195489" customHeight="1"/>
    <row r="31" ht="18.04511278195489" customHeight="1"/>
    <row r="32" ht="18.04511278195489" customHeight="1"/>
    <row r="33" ht="18.04511278195489" customHeight="1"/>
    <row r="34" ht="18.04511278195489" customHeight="1"/>
    <row r="35" ht="18.04511278195489" customHeight="1"/>
    <row r="36" ht="18.04511278195489" customHeight="1"/>
    <row r="37" ht="18.04511278195489" customHeight="1"/>
    <row r="38" ht="18.04511278195489" customHeight="1"/>
    <row r="39" ht="18.04511278195489" customHeight="1"/>
    <row r="40" ht="18.04511278195489" customHeight="1"/>
    <row r="41" ht="18.04511278195489" customHeight="1"/>
    <row r="42" ht="18.04511278195489" customHeight="1"/>
    <row r="43" ht="18.04511278195489" customHeight="1"/>
    <row r="44" ht="18.04511278195489" customHeight="1"/>
    <row r="45" ht="18.04511278195489" customHeight="1"/>
    <row r="46" ht="18.04511278195489" customHeight="1"/>
    <row r="47" ht="18.04511278195489" customHeight="1"/>
    <row r="48" ht="18.04511278195489" customHeight="1"/>
    <row r="49" ht="18.04511278195489" customHeight="1"/>
    <row r="50" ht="18.04511278195489" customHeight="1"/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Yuque</dc:creator>
  <dcterms:created xmlns:dcterms="http://purl.org/dc/terms/" xmlns:xsi="http://www.w3.org/2001/XMLSchema-instance" xsi:type="dcterms:W3CDTF">2026-10-22T11:39:07Z</dcterms:created>
  <dcterms:modified xmlns:dcterms="http://purl.org/dc/terms/" xmlns:xsi="http://www.w3.org/2001/XMLSchema-instance" xsi:type="dcterms:W3CDTF">2026-10-24T16:01:38Z</dcterms:modified>
  <cp:lastModifiedBy>Yuque</cp:lastModifiedBy>
</cp:coreProperties>
</file>